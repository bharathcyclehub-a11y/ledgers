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Notes" sheetId="1" r:id="rId1"/>
  </sheets>
  <externalReferences>
    <externalReference r:id="rId2"/>
  </externalReferences>
  <definedNames>
    <definedName name="_xlnm._FilterDatabase" localSheetId="0" hidden="1">Notes!$A$1:$Q$42</definedName>
  </definedNames>
  <calcPr calcId="145621"/>
</workbook>
</file>

<file path=xl/calcChain.xml><?xml version="1.0" encoding="utf-8"?>
<calcChain xmlns="http://schemas.openxmlformats.org/spreadsheetml/2006/main">
  <c r="J122" i="1" l="1"/>
  <c r="J121" i="1"/>
  <c r="J120" i="1"/>
  <c r="J119" i="1"/>
  <c r="J116" i="1"/>
  <c r="J115" i="1"/>
  <c r="J114" i="1"/>
  <c r="J112" i="1"/>
  <c r="J110" i="1"/>
  <c r="J109" i="1"/>
  <c r="J108" i="1"/>
  <c r="J107" i="1"/>
  <c r="J106" i="1"/>
  <c r="J105" i="1"/>
  <c r="J104" i="1"/>
  <c r="J103" i="1"/>
  <c r="J102" i="1"/>
  <c r="J101" i="1"/>
  <c r="J99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67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4" i="1"/>
  <c r="J33" i="1"/>
  <c r="J31" i="1"/>
  <c r="J30" i="1"/>
  <c r="J28" i="1"/>
  <c r="J27" i="1"/>
  <c r="J26" i="1"/>
  <c r="J25" i="1"/>
  <c r="J24" i="1"/>
  <c r="J23" i="1"/>
  <c r="J22" i="1"/>
  <c r="J21" i="1"/>
  <c r="J18" i="1"/>
  <c r="J17" i="1"/>
  <c r="J16" i="1"/>
  <c r="J12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<sst xmlns="http://schemas.openxmlformats.org/spreadsheetml/2006/main" count="1351" uniqueCount="577">
  <si>
    <t>Particulars</t>
  </si>
  <si>
    <t>HSN/SAC</t>
  </si>
  <si>
    <t>GST Rate</t>
  </si>
  <si>
    <t>AMAZON</t>
  </si>
  <si>
    <t>E-Commerce</t>
  </si>
  <si>
    <t>E-Bike</t>
  </si>
  <si>
    <t>ASIN</t>
  </si>
  <si>
    <t>Category Type</t>
  </si>
  <si>
    <t>Product Type</t>
  </si>
  <si>
    <t>OMS Product Name</t>
  </si>
  <si>
    <t>Product Code</t>
  </si>
  <si>
    <t>HSN</t>
  </si>
  <si>
    <t>Cycle Helmet With Light (Beacon)</t>
  </si>
  <si>
    <t>B0DC4GNQM6</t>
  </si>
  <si>
    <t>Accessories - EM</t>
  </si>
  <si>
    <t>Pump</t>
  </si>
  <si>
    <t>Airflow - Black</t>
  </si>
  <si>
    <t>Cycle Helmet With Light (Slipstream)</t>
  </si>
  <si>
    <t>B0DFQ69QXK</t>
  </si>
  <si>
    <t>Airflow - Red</t>
  </si>
  <si>
    <t>Fingerprint Cycle Lock (Defender Smart Lock)</t>
  </si>
  <si>
    <t>B0DC4CK1YQ</t>
  </si>
  <si>
    <t>Airwave - Green</t>
  </si>
  <si>
    <t>Number Cycle Lock (FortKnox Lock)</t>
  </si>
  <si>
    <t>B0DFQ5FCV7</t>
  </si>
  <si>
    <t>Airwave - White</t>
  </si>
  <si>
    <t>Parts and Accessories of E-Bikes</t>
  </si>
  <si>
    <t>B0DDHHV43B</t>
  </si>
  <si>
    <t>Helmet</t>
  </si>
  <si>
    <t>Beacon - Blue-L</t>
  </si>
  <si>
    <t>Laptop Bag (Journey Man)</t>
  </si>
  <si>
    <t>B0DDHJRGDN</t>
  </si>
  <si>
    <t>Cycle Pump (Mini Air)</t>
  </si>
  <si>
    <t>B0DDHL9NC8</t>
  </si>
  <si>
    <t>Beacon - Blue-M</t>
  </si>
  <si>
    <t>Cycle Pump (Air Plus)</t>
  </si>
  <si>
    <t>B0DDHLH3GC</t>
  </si>
  <si>
    <t>Beacon - Orange-M</t>
  </si>
  <si>
    <t>Cycle Pump (Smart Air)</t>
  </si>
  <si>
    <t>B0CS6VH257</t>
  </si>
  <si>
    <t>Lock</t>
  </si>
  <si>
    <t>1B-41 EM BoltShield</t>
  </si>
  <si>
    <t>PC338</t>
  </si>
  <si>
    <t>Service Labour (Bicycles)</t>
  </si>
  <si>
    <t>B0BKSP8JBT</t>
  </si>
  <si>
    <t>Beacon helmet</t>
  </si>
  <si>
    <t>Transport Service by Road</t>
  </si>
  <si>
    <t>B09CQD2JD8</t>
  </si>
  <si>
    <t>Desire Range</t>
  </si>
  <si>
    <t>E-Bikes</t>
  </si>
  <si>
    <t>Doodle V3 Black Green - DF032EB0009/F032DV01C33</t>
  </si>
  <si>
    <t>PC547</t>
  </si>
  <si>
    <t>Business Support Services</t>
  </si>
  <si>
    <t>B0D6N39DJM</t>
  </si>
  <si>
    <t>Leasing,Rental Bicycles</t>
  </si>
  <si>
    <t>B0CRL64JGD</t>
  </si>
  <si>
    <t>Doodle V4 Indicator Edition - Native Pop - F032FV01C12</t>
  </si>
  <si>
    <t>PC673</t>
  </si>
  <si>
    <t>Legal Services</t>
  </si>
  <si>
    <t>B0CS3WMV4J</t>
  </si>
  <si>
    <t>Light</t>
  </si>
  <si>
    <t>Parts and Accessories of e-Bikes</t>
  </si>
  <si>
    <t>Gloves</t>
  </si>
  <si>
    <t>B0BLVRY2DD</t>
  </si>
  <si>
    <t>Mini Air Pump</t>
  </si>
  <si>
    <t>Scott Drifit Tshirt</t>
  </si>
  <si>
    <t>B0BLVT9QH5</t>
  </si>
  <si>
    <t>Backpack</t>
  </si>
  <si>
    <t>Pannier bag premium(Gray) - Journey Pro - BGT003-ASEM-A100-C47</t>
  </si>
  <si>
    <t>Caps</t>
  </si>
  <si>
    <t>B0BLVHX93P</t>
  </si>
  <si>
    <t>Slipstream Helmet</t>
  </si>
  <si>
    <t>PC024</t>
  </si>
  <si>
    <t>EM Jackets</t>
  </si>
  <si>
    <t>B0CS3HWMY3</t>
  </si>
  <si>
    <t>HT21 EM TitanLatch</t>
  </si>
  <si>
    <t>PC324</t>
  </si>
  <si>
    <t>Mobile Holder</t>
  </si>
  <si>
    <t>B0BLVZ9CW8</t>
  </si>
  <si>
    <t>Air Plus Hand Pump</t>
  </si>
  <si>
    <t>Rollup Stande</t>
  </si>
  <si>
    <t>B0DD44YZ55</t>
  </si>
  <si>
    <t>Trex+ V2 26</t>
  </si>
  <si>
    <t>Canopy</t>
  </si>
  <si>
    <t>B0DDGXNRRG</t>
  </si>
  <si>
    <t>T-rex+ V3 27.5inch Olive fade - M006DV02C48</t>
  </si>
  <si>
    <t>Leaflet</t>
  </si>
  <si>
    <t>B0DDGZ6G9Q</t>
  </si>
  <si>
    <t>T-rex+ V3 26inch Olive fade - M006DV01C48</t>
  </si>
  <si>
    <t>Texture Paper</t>
  </si>
  <si>
    <t>B0DD465JPV</t>
  </si>
  <si>
    <t>T-rex+ V3 27.5inch Crimson black - M006DV02C39</t>
  </si>
  <si>
    <t>Art Paper</t>
  </si>
  <si>
    <t>B0DDH7GTH4</t>
  </si>
  <si>
    <t>Trex+ V3 29inch -Olive fade - M006DV03C48</t>
  </si>
  <si>
    <t>Battery</t>
  </si>
  <si>
    <t>B0DGV7YTF7</t>
  </si>
  <si>
    <t>Firefly</t>
  </si>
  <si>
    <t>Battery Charger</t>
  </si>
  <si>
    <t>B0DC6WXY9R</t>
  </si>
  <si>
    <t>Flashtrail</t>
  </si>
  <si>
    <t>Controller -Navyug</t>
  </si>
  <si>
    <t>B0CS6VJYL9</t>
  </si>
  <si>
    <t>T-6D-EMStealthGuard</t>
  </si>
  <si>
    <t>PC340</t>
  </si>
  <si>
    <t>Bicycle Saddles Cover</t>
  </si>
  <si>
    <t>B0DC72584R</t>
  </si>
  <si>
    <t>Fortknox Lite - Em</t>
  </si>
  <si>
    <t>X1 Navyug Battery</t>
  </si>
  <si>
    <t>B0DHL53F1L</t>
  </si>
  <si>
    <t>Fortknox Plus - Em</t>
  </si>
  <si>
    <t>Welcome kit</t>
  </si>
  <si>
    <t>B0CS3TVRJD</t>
  </si>
  <si>
    <t>HT19 EM-GlideGuard Neon</t>
  </si>
  <si>
    <t>PC329</t>
  </si>
  <si>
    <t>Boat Storm Smartwatch</t>
  </si>
  <si>
    <t>B0CS3SB1GB</t>
  </si>
  <si>
    <t>HT19 EM-GlideGuard Yellow</t>
  </si>
  <si>
    <t>Military Power Bank</t>
  </si>
  <si>
    <t>B0DC6WJXXP</t>
  </si>
  <si>
    <t>Keyguard - Em</t>
  </si>
  <si>
    <t>Speaker/Neckband/Earbud/Headset</t>
  </si>
  <si>
    <t>B0D14CHJ6K</t>
  </si>
  <si>
    <t>LEGEND 07 BLACK -XX01EB0006/EM01AV03C04</t>
  </si>
  <si>
    <t>PC527</t>
  </si>
  <si>
    <t>Motor Grease</t>
  </si>
  <si>
    <t>B0DD48F9RJ</t>
  </si>
  <si>
    <t>X1 MSD Bleed Blue/EM01AV03C40</t>
  </si>
  <si>
    <t>PC574</t>
  </si>
  <si>
    <t>Misc Scrap ( Corrugated Boxes,Papers)</t>
  </si>
  <si>
    <t>B0D14C51ZR</t>
  </si>
  <si>
    <t>X1 MSD Pearl White - XX01EB0005/EM01AV03C21</t>
  </si>
  <si>
    <t>PC528</t>
  </si>
  <si>
    <t>Corrugated Boxes</t>
  </si>
  <si>
    <t>B0DHH353MN</t>
  </si>
  <si>
    <t>Lil E</t>
  </si>
  <si>
    <t>Lil-E -Electric Blue 5.2Ah - K010AV02C16</t>
  </si>
  <si>
    <t>MS Scrap</t>
  </si>
  <si>
    <t>B0DHH46FRB</t>
  </si>
  <si>
    <t>Lil E Red V2</t>
  </si>
  <si>
    <t>Tyre</t>
  </si>
  <si>
    <t>B0DNJRHG74</t>
  </si>
  <si>
    <t>LIL E Junior-Red - M080AV01C03</t>
  </si>
  <si>
    <t>Tube</t>
  </si>
  <si>
    <t>B0DNJTC7CV</t>
  </si>
  <si>
    <t>LIL E Junior-Blue - M080AV01C29</t>
  </si>
  <si>
    <t xml:space="preserve">Manual Push Bicycles </t>
  </si>
  <si>
    <t>B0DNJTLXN3</t>
  </si>
  <si>
    <t>LIL E Junior-Silver Grey - M080AV01C50</t>
  </si>
  <si>
    <t>B0CSPGFJRF</t>
  </si>
  <si>
    <t>BT6007 + BT6021 EM Lumous Light Combo</t>
  </si>
  <si>
    <t>B0DC6TKXXY</t>
  </si>
  <si>
    <t>Lumo</t>
  </si>
  <si>
    <t>B0DHCLCCM7</t>
  </si>
  <si>
    <t>Mini airjet - Black</t>
  </si>
  <si>
    <t>B0DSQ1PLGP</t>
  </si>
  <si>
    <t>B0DSQ38X9C</t>
  </si>
  <si>
    <t>B0DQPP8QH4</t>
  </si>
  <si>
    <t>Accessorier-EM</t>
  </si>
  <si>
    <t>Zip Lock (L)</t>
  </si>
  <si>
    <t>B0DHRXH371</t>
  </si>
  <si>
    <t>Carrier</t>
  </si>
  <si>
    <t>XF Carrier</t>
  </si>
  <si>
    <t>B0DJWFFWS4</t>
  </si>
  <si>
    <t>X Factor</t>
  </si>
  <si>
    <t>STX 27.5 inch - Teal Blue - EM05AV02C37</t>
  </si>
  <si>
    <t>B0DJY8GT1D</t>
  </si>
  <si>
    <t>STX 27.5 inch - Beige - EM05AV02C38</t>
  </si>
  <si>
    <t>B0D9KLQ2NR</t>
  </si>
  <si>
    <t>T-Rex Air 27.5 Tropical Green EM04BV01C35/TM006EB0005</t>
  </si>
  <si>
    <t>PC567</t>
  </si>
  <si>
    <t>B09XKC1XJV</t>
  </si>
  <si>
    <t>T-Rex Air 27.5 Orange Blaze TM006EB0006/EM04BV01C34</t>
  </si>
  <si>
    <t>PC566</t>
  </si>
  <si>
    <t>B09XKC8SRX</t>
  </si>
  <si>
    <t>B0BR7TBJ3G</t>
  </si>
  <si>
    <t>B0BR7V8YMD</t>
  </si>
  <si>
    <t>B0D9KBX815</t>
  </si>
  <si>
    <t>B0DGV65CTQ</t>
  </si>
  <si>
    <t>T-Rex Air 29 Forest Fury - EM04AV01C41</t>
  </si>
  <si>
    <t>PC580</t>
  </si>
  <si>
    <t>B0CQC5WMLN</t>
  </si>
  <si>
    <t>T-rex+ V1 27.5 Black Red (Customized)</t>
  </si>
  <si>
    <t>PC570</t>
  </si>
  <si>
    <t>B0CQC715FS</t>
  </si>
  <si>
    <t>Trex - Air Sundown Yellow29" - TM006EB0003/EM04AV01C26</t>
  </si>
  <si>
    <t>PC237</t>
  </si>
  <si>
    <t>B0DHS8GHB1</t>
  </si>
  <si>
    <t>T-Rex Pro 27.5 inch -Spring Green-TP01BV01C56</t>
  </si>
  <si>
    <t>PC632</t>
  </si>
  <si>
    <t>B0DHS96CQT</t>
  </si>
  <si>
    <t>B0DHS97TT8</t>
  </si>
  <si>
    <t>B0DHSCW21Q</t>
  </si>
  <si>
    <t>T-Rex Pro 29 inch -Spring Green-TP01AV01C56</t>
  </si>
  <si>
    <t>PC635</t>
  </si>
  <si>
    <t>B0DHS9N2RT</t>
  </si>
  <si>
    <t>T-Rex Pro 29 inch -Deep Purple-TP01AV01C55</t>
  </si>
  <si>
    <t>PC636</t>
  </si>
  <si>
    <t>B0DHSCFYKD</t>
  </si>
  <si>
    <t>T-Rex Pro 27.5 inch -Deep Purple</t>
  </si>
  <si>
    <t>PC633</t>
  </si>
  <si>
    <t>B0DD3R3KT8</t>
  </si>
  <si>
    <t>T-rex+ V3 29 Crimson black - M006DV03C39</t>
  </si>
  <si>
    <t>B0BSLDNFSQ</t>
  </si>
  <si>
    <t>X1 Ocean Blue-XX01EB0001 / EM01AV01C17</t>
  </si>
  <si>
    <t>PC010</t>
  </si>
  <si>
    <t>B0BSLLFC1T</t>
  </si>
  <si>
    <t>X1 C Red-XX01EB0007/EM01AV01C19</t>
  </si>
  <si>
    <t>PC538</t>
  </si>
  <si>
    <t>B0CQYJTC3M</t>
  </si>
  <si>
    <t>B0CQYM45W5</t>
  </si>
  <si>
    <t>X1 - Custom C Red - EM01AV03C19</t>
  </si>
  <si>
    <t>PC1044</t>
  </si>
  <si>
    <t>B0D793R477</t>
  </si>
  <si>
    <t>B0BSLL4294</t>
  </si>
  <si>
    <t>X2 Furious Red-XX02EB1001/EM02AV01C23</t>
  </si>
  <si>
    <t>PC012</t>
  </si>
  <si>
    <t>B0BSLL33PZ</t>
  </si>
  <si>
    <t>X2 Sea Green -XX02EB1000/EM02AV01C22</t>
  </si>
  <si>
    <t>PC011</t>
  </si>
  <si>
    <t>B0BSLN38NT</t>
  </si>
  <si>
    <t>X3 Moonlight Silver-XX03EB1001/EM03AV01C25</t>
  </si>
  <si>
    <t>PC041</t>
  </si>
  <si>
    <t>B0BSLQ27FF</t>
  </si>
  <si>
    <t>B0C8B3R4ZW</t>
  </si>
  <si>
    <t>B0CTQ7G6ZQ</t>
  </si>
  <si>
    <t>B0CS3W9SD4</t>
  </si>
  <si>
    <t>Helmet HT30V Black + Green EM ZephyrShield</t>
  </si>
  <si>
    <t>B0CS3XXCXD</t>
  </si>
  <si>
    <t>HT30 ZephyrShield-BlackRed</t>
  </si>
  <si>
    <t>PC330</t>
  </si>
  <si>
    <t>B0DFQ72TJ9</t>
  </si>
  <si>
    <t>Accessories - Xcape</t>
  </si>
  <si>
    <t>Freeflo - Red</t>
  </si>
  <si>
    <t>B0DC6QHTQH</t>
  </si>
  <si>
    <t>Freeflo - Yellow</t>
  </si>
  <si>
    <t>B0DFQ7WSWH</t>
  </si>
  <si>
    <t>Jetflo - Green</t>
  </si>
  <si>
    <t>B0DC6PM76H</t>
  </si>
  <si>
    <t>Jetflo - Orange</t>
  </si>
  <si>
    <t>B0CSG3GZ9B</t>
  </si>
  <si>
    <t>102.705B-XcapeLockNexus</t>
  </si>
  <si>
    <t>B0DC72XNDR</t>
  </si>
  <si>
    <t>Locksafe - Xcape</t>
  </si>
  <si>
    <t>B0DGXFVDY6</t>
  </si>
  <si>
    <t>Lumisafe - Black/brown-M</t>
  </si>
  <si>
    <t>B0DGXGYHTS</t>
  </si>
  <si>
    <t>B0DGXJG2Y5</t>
  </si>
  <si>
    <t>B0DCP52L42</t>
  </si>
  <si>
    <t>Lumisafe - Black/Green-L</t>
  </si>
  <si>
    <t>B0DFY7YJ8C</t>
  </si>
  <si>
    <t>B0DFYJJRNH</t>
  </si>
  <si>
    <t>B0DGXJ4K27</t>
  </si>
  <si>
    <t>Lumisafe - Black/Green-M</t>
  </si>
  <si>
    <t>B0DFYGZGH4</t>
  </si>
  <si>
    <t>Lumisafe - Black/White-L</t>
  </si>
  <si>
    <t>B0DFQ749T8</t>
  </si>
  <si>
    <t>Maxflow - Black</t>
  </si>
  <si>
    <t>B0DC6PN66N</t>
  </si>
  <si>
    <t>Maxflow - Red</t>
  </si>
  <si>
    <t>B0CSDHL29N</t>
  </si>
  <si>
    <t>BTBY6001-NightVistaBTBY6001-NightVista Xcape</t>
  </si>
  <si>
    <t>B0CSFP15SP</t>
  </si>
  <si>
    <t>HT004G Xcape-Red Black</t>
  </si>
  <si>
    <t>PC325</t>
  </si>
  <si>
    <t>B0CSG4DSZY</t>
  </si>
  <si>
    <t>Xcape-SecureSpin</t>
  </si>
  <si>
    <t>B0CSDH1Q4R</t>
  </si>
  <si>
    <t>1B-41 Xcape SecureSwift</t>
  </si>
  <si>
    <t>PC339</t>
  </si>
  <si>
    <t>B0CSDM694P</t>
  </si>
  <si>
    <t>BWBLF111-Xcape Spark sync</t>
  </si>
  <si>
    <t>B0DFHLVB2L</t>
  </si>
  <si>
    <t>Trailarmour - Black-L</t>
  </si>
  <si>
    <t>B0DGXYS7KH</t>
  </si>
  <si>
    <t>Trailarmour - Black-M</t>
  </si>
  <si>
    <t>B0DFYJY6NC</t>
  </si>
  <si>
    <t>Trailarmour - Black/Red-L</t>
  </si>
  <si>
    <t>B0DQVJ5W9Z</t>
  </si>
  <si>
    <t>B0DGXY5C3L</t>
  </si>
  <si>
    <t>Trailarmour - Black/Red-M</t>
  </si>
  <si>
    <t>B0DFYJWY69</t>
  </si>
  <si>
    <t>B0DGY1NZ29</t>
  </si>
  <si>
    <t>B0DC6YT278</t>
  </si>
  <si>
    <t>Ultrasafe - Xcape</t>
  </si>
  <si>
    <t>B0DC6Z4KTX</t>
  </si>
  <si>
    <t>B0CSWGT7X1</t>
  </si>
  <si>
    <t>BTBY6001 + BTBY6026 (Xcape) VistaGlow Light Combo</t>
  </si>
  <si>
    <t>B0CSFNTMQR</t>
  </si>
  <si>
    <t>HT004GXcape-BlueBlack</t>
  </si>
  <si>
    <t>PC326</t>
  </si>
  <si>
    <t>B0CSD43T4N</t>
  </si>
  <si>
    <t>HT21 Xcape-ZenithGuard</t>
  </si>
  <si>
    <t>B0BZRVLNVD</t>
  </si>
  <si>
    <t>FRONT LIGHT WITH HORN AND SWITCH-RAY LED</t>
  </si>
  <si>
    <t>PC663</t>
  </si>
  <si>
    <t>B0C7R2S9DT</t>
  </si>
  <si>
    <t>Mudguard</t>
  </si>
  <si>
    <t>X Factor Fenders Red</t>
  </si>
  <si>
    <t>B0C89CBH2Q</t>
  </si>
  <si>
    <t>X Factor Fenders Grey</t>
  </si>
  <si>
    <t>B0CFTWZSZV</t>
  </si>
  <si>
    <t>B0CFTZL4YX</t>
  </si>
  <si>
    <t>Seat Cover</t>
  </si>
  <si>
    <t>Saddle Cover - Nimbus</t>
  </si>
  <si>
    <t>PC1125</t>
  </si>
  <si>
    <t>B0CFV14Q43</t>
  </si>
  <si>
    <t xml:space="preserve">	X Factor Fenders Red</t>
  </si>
  <si>
    <t>PC204</t>
  </si>
  <si>
    <t>B0DC6WV74S</t>
  </si>
  <si>
    <t>Rear Tail Light</t>
  </si>
  <si>
    <t>B0DGV9K9YD</t>
  </si>
  <si>
    <t>Nexus</t>
  </si>
  <si>
    <t>B0DHRWN9LC</t>
  </si>
  <si>
    <t>Metal Fender Set</t>
  </si>
  <si>
    <t>B0BSH997R7</t>
  </si>
  <si>
    <t>Fortknox Lock</t>
  </si>
  <si>
    <t>B0BM49B7YN</t>
  </si>
  <si>
    <t>Biometric Lock</t>
  </si>
  <si>
    <t>PC029</t>
  </si>
  <si>
    <t>B0BZRSBWCC</t>
  </si>
  <si>
    <t>Horn</t>
  </si>
  <si>
    <t>FRONT LIGHT WITH HORN-RAY LED</t>
  </si>
  <si>
    <t>PC637</t>
  </si>
  <si>
    <t>B0CR1QSFL3</t>
  </si>
  <si>
    <t>Photon LED (DH007)</t>
  </si>
  <si>
    <t>PC038</t>
  </si>
  <si>
    <t>B0CR1SGHGM</t>
  </si>
  <si>
    <t>FRONT LIGHT WITH HORN - Photon LED</t>
  </si>
  <si>
    <t>PC638</t>
  </si>
  <si>
    <t>B0DKC293TM</t>
  </si>
  <si>
    <t>Bottle</t>
  </si>
  <si>
    <t>Hydro Smart - Black</t>
  </si>
  <si>
    <t>PC662</t>
  </si>
  <si>
    <t>B0DQVHNM4N</t>
  </si>
  <si>
    <t>FormulaFun</t>
  </si>
  <si>
    <t>Kick Scooter - Red - KS01AV01C03</t>
  </si>
  <si>
    <t>PC861</t>
  </si>
  <si>
    <t>B0DHRQB45F</t>
  </si>
  <si>
    <t>Aeroshield - Black/Green-M</t>
  </si>
  <si>
    <t>PC594</t>
  </si>
  <si>
    <t>B0DHNLKN7F</t>
  </si>
  <si>
    <t>Aeroshield - Red-M</t>
  </si>
  <si>
    <t>PC598</t>
  </si>
  <si>
    <t>B0DHP8D8PS</t>
  </si>
  <si>
    <t>Aeroshield - Black/Green-L</t>
  </si>
  <si>
    <t>PC612</t>
  </si>
  <si>
    <t>B0DQTXK6NS</t>
  </si>
  <si>
    <t>ATV - White - AT01AV01C01</t>
  </si>
  <si>
    <t>PC860</t>
  </si>
  <si>
    <t>B0DQTZSGLY</t>
  </si>
  <si>
    <t>PC859</t>
  </si>
  <si>
    <t>B0DQVB7CN2</t>
  </si>
  <si>
    <t>Mini Aceman - White - JE88AV01C01</t>
  </si>
  <si>
    <t>PC766</t>
  </si>
  <si>
    <t>B0DHRR6XPH</t>
  </si>
  <si>
    <t>Aeroshield - Red-L</t>
  </si>
  <si>
    <t>PC599</t>
  </si>
  <si>
    <t>B0DKC32LZP</t>
  </si>
  <si>
    <t>Hydro Smart - Red</t>
  </si>
  <si>
    <t>PC665</t>
  </si>
  <si>
    <t>B0DQVC66D7</t>
  </si>
  <si>
    <t>Mini Aceman - Red - JE88AV01C03</t>
  </si>
  <si>
    <t>PC765</t>
  </si>
  <si>
    <t>B0DQVFV299</t>
  </si>
  <si>
    <t>Mini Aceman - Blue - JE88AV01C29</t>
  </si>
  <si>
    <t>PC870</t>
  </si>
  <si>
    <t>B0DZHR2VVZ</t>
  </si>
  <si>
    <t>Touch Bag</t>
  </si>
  <si>
    <t>Top tube bag - Touch</t>
  </si>
  <si>
    <t>PC1123</t>
  </si>
  <si>
    <t>B0DZHT4855</t>
  </si>
  <si>
    <t>Switch Bag</t>
  </si>
  <si>
    <t>Pannier bag - Switch</t>
  </si>
  <si>
    <t>PC1124</t>
  </si>
  <si>
    <t>B0DZX4MZ7D</t>
  </si>
  <si>
    <t>G1 - C Orange - CRX6AV01C57</t>
  </si>
  <si>
    <t>PC866</t>
  </si>
  <si>
    <t>B0DZX7HFRF</t>
  </si>
  <si>
    <t>G1 - C Black - CRX6AV01C43</t>
  </si>
  <si>
    <t>PC867</t>
  </si>
  <si>
    <t>B0DZXF2X82</t>
  </si>
  <si>
    <t>Saddle Cover</t>
  </si>
  <si>
    <t>B0D7W51NVH</t>
  </si>
  <si>
    <t>FLIPKART</t>
  </si>
  <si>
    <t>FSN</t>
  </si>
  <si>
    <t>PMPHA7BMXEP5DSRT</t>
  </si>
  <si>
    <t>PC617</t>
  </si>
  <si>
    <t>PMPH4DCYVSVUSFPF</t>
  </si>
  <si>
    <t>PC616</t>
  </si>
  <si>
    <t>PMPH3JBRXZTHY3GJ</t>
  </si>
  <si>
    <t>PC622</t>
  </si>
  <si>
    <t>PMPH4JVKG9PZZSKA</t>
  </si>
  <si>
    <t>PC623</t>
  </si>
  <si>
    <t>HLMH4K7TQKK4PYDD</t>
  </si>
  <si>
    <t>PC584</t>
  </si>
  <si>
    <t>PC586</t>
  </si>
  <si>
    <t>HLMH4K8QET6ZGDWN</t>
  </si>
  <si>
    <t>PC587</t>
  </si>
  <si>
    <t>BYLGX3FHHJF33PN4</t>
  </si>
  <si>
    <t>HLMGQ3X3MXXQYDGA</t>
  </si>
  <si>
    <t>PC023</t>
  </si>
  <si>
    <t>ECYGG4FCCNCJCYUP</t>
  </si>
  <si>
    <t>Doodle</t>
  </si>
  <si>
    <t>ECYGWWC3MEB48FQP</t>
  </si>
  <si>
    <t>LGTGX3EXF7QEHD7F</t>
  </si>
  <si>
    <t>Blazebeam</t>
  </si>
  <si>
    <t>PC589</t>
  </si>
  <si>
    <t>PMPGPGJFVPMB5DUM</t>
  </si>
  <si>
    <t>PC026</t>
  </si>
  <si>
    <t>BKPGPGGTGMEWZ3ZN</t>
  </si>
  <si>
    <t>Bag</t>
  </si>
  <si>
    <t>PC1129</t>
  </si>
  <si>
    <t>HLMGPGG3KZMRXHPG</t>
  </si>
  <si>
    <t>HLMGX3B6SUFYW8XC</t>
  </si>
  <si>
    <t>PMPGPGKEHZYYRJNB</t>
  </si>
  <si>
    <t>PC027</t>
  </si>
  <si>
    <t>ECYH3YS5GBGUKQHD</t>
  </si>
  <si>
    <t>Trex+</t>
  </si>
  <si>
    <t>PC222</t>
  </si>
  <si>
    <t>PC576</t>
  </si>
  <si>
    <t>PC577</t>
  </si>
  <si>
    <t>ECYH3Q7SAJMVMBVT</t>
  </si>
  <si>
    <t>PC571</t>
  </si>
  <si>
    <t>ECYH44CC5QCXWVQG</t>
  </si>
  <si>
    <t>PC583</t>
  </si>
  <si>
    <t>LGTH4N63MHFSYNT5</t>
  </si>
  <si>
    <t>PC611</t>
  </si>
  <si>
    <t>LGTH3JGFGHEFEX7X</t>
  </si>
  <si>
    <t>PC630</t>
  </si>
  <si>
    <t>BYLH4V6XSUGB6PJH</t>
  </si>
  <si>
    <t>PC602</t>
  </si>
  <si>
    <t>BYLHACNUKFGGZAYV</t>
  </si>
  <si>
    <t>PC590</t>
  </si>
  <si>
    <t>HLMGX3B9HRFJJK6Z</t>
  </si>
  <si>
    <t>HLMGX3D4JMEZ8J4G</t>
  </si>
  <si>
    <t>PC328</t>
  </si>
  <si>
    <t>BYLH3JGSGCFVK2WD</t>
  </si>
  <si>
    <t>PC603</t>
  </si>
  <si>
    <t>ECYH2F4ZWHFKPGGH</t>
  </si>
  <si>
    <t>Legend 07</t>
  </si>
  <si>
    <t>ECYH3Q83YQAHRRYF</t>
  </si>
  <si>
    <t>ECYH3G7EF65HRTNZ</t>
  </si>
  <si>
    <t>ECYH6PT8RHCQ5WZ5</t>
  </si>
  <si>
    <t>Lil E 5.2</t>
  </si>
  <si>
    <t>PC661</t>
  </si>
  <si>
    <t>ECYH9YDBGUYS5CGE</t>
  </si>
  <si>
    <t>PC225</t>
  </si>
  <si>
    <t>ECYHAYJZMHBSGKGV</t>
  </si>
  <si>
    <t>Lil E 2.6</t>
  </si>
  <si>
    <t>PC764</t>
  </si>
  <si>
    <t>ECYHAYJZHEYZQP36</t>
  </si>
  <si>
    <t xml:space="preserve">PC763	</t>
  </si>
  <si>
    <t>PC762</t>
  </si>
  <si>
    <t>LGTGX3F6HZ2PZMJZ</t>
  </si>
  <si>
    <t>BTBY60021-EM LuminaGlow</t>
  </si>
  <si>
    <t>PC335</t>
  </si>
  <si>
    <t>LGTH3JGFPVSPJMU9</t>
  </si>
  <si>
    <t>PC368</t>
  </si>
  <si>
    <t>PC629</t>
  </si>
  <si>
    <t>PMPH4SSPKYUHBEZR</t>
  </si>
  <si>
    <t>PC628</t>
  </si>
  <si>
    <t>ECYHA65EMGCUDMBM</t>
  </si>
  <si>
    <t>ECYHAFJ6NGHKDNBT</t>
  </si>
  <si>
    <t>HLKHAEFGEKZQWFNR</t>
  </si>
  <si>
    <t xml:space="preserve">Accessories -Xcape </t>
  </si>
  <si>
    <t>PC668</t>
  </si>
  <si>
    <t>BYCHADZHYFDTZKDB</t>
  </si>
  <si>
    <t>PC208</t>
  </si>
  <si>
    <t>ECYH5HWVCBZG63RT</t>
  </si>
  <si>
    <t>STX</t>
  </si>
  <si>
    <t>PC694</t>
  </si>
  <si>
    <t>ECYH5MSDDVFSWFEH</t>
  </si>
  <si>
    <t>PC693</t>
  </si>
  <si>
    <t>ECYH2TZTFHZGSUED</t>
  </si>
  <si>
    <t>Trex Air</t>
  </si>
  <si>
    <t>ECYH2TVFRT56HYEZ</t>
  </si>
  <si>
    <t>ECYH4MFA6YN2J9YX</t>
  </si>
  <si>
    <t>ECYGX7FFPQKGFFVH</t>
  </si>
  <si>
    <t>ECYGXAXUP58PAATB</t>
  </si>
  <si>
    <t>T-Rex Air Sundown Yellow- Custom - EM04AV03C26</t>
  </si>
  <si>
    <t>ECYHAFVEG9FH9UGV</t>
  </si>
  <si>
    <t>Trex Pro</t>
  </si>
  <si>
    <t>ECYH4ZMN95SK5T2H</t>
  </si>
  <si>
    <t>T-Rex Pro 29 inch-Deep Purple custom-TP01AV04C55</t>
  </si>
  <si>
    <t>ECYGHWGZHPXNUUZU</t>
  </si>
  <si>
    <t>PC578</t>
  </si>
  <si>
    <t>ECYGRFT7FM3GKZWP</t>
  </si>
  <si>
    <t>X1</t>
  </si>
  <si>
    <t>ECYH28HFFWQTZWYW</t>
  </si>
  <si>
    <t>ECYGMWCBDJNPATVE</t>
  </si>
  <si>
    <t>X2</t>
  </si>
  <si>
    <t>ECYGMWD2EEGRTZHX</t>
  </si>
  <si>
    <t>ECYGRNGWG8FHGMVY</t>
  </si>
  <si>
    <t>X3</t>
  </si>
  <si>
    <t>ECYGRNJDZWWUSZB5</t>
  </si>
  <si>
    <t>HLMGX3ENHJVCVPTQ</t>
  </si>
  <si>
    <t>HLMGX3EDZN4PYQPV</t>
  </si>
  <si>
    <t>PMPH4DCEMZBFFCFF</t>
  </si>
  <si>
    <t>PC620</t>
  </si>
  <si>
    <t>PMPH3JCJG9HGHYSM</t>
  </si>
  <si>
    <t>PC621</t>
  </si>
  <si>
    <t>PMPH4DCHJGBFEQGV</t>
  </si>
  <si>
    <t>PC618</t>
  </si>
  <si>
    <t>PMPH3JC8QRSBUZGA</t>
  </si>
  <si>
    <t>PC619</t>
  </si>
  <si>
    <t>BYLGXQGZDTUWWRUY</t>
  </si>
  <si>
    <t>PC341</t>
  </si>
  <si>
    <t>BYLH3JHFNS8GHE7C</t>
  </si>
  <si>
    <t>PC615</t>
  </si>
  <si>
    <t>HLMH4D6NK87FYEBK</t>
  </si>
  <si>
    <t>PC672</t>
  </si>
  <si>
    <t>HLMH46TMTGHPK523</t>
  </si>
  <si>
    <t>PC607</t>
  </si>
  <si>
    <t>PC671</t>
  </si>
  <si>
    <t>HLMH4D88XXXZ5BME</t>
  </si>
  <si>
    <t>PC606</t>
  </si>
  <si>
    <t>PMPH4DCQCCRNZKB4</t>
  </si>
  <si>
    <t>PC624</t>
  </si>
  <si>
    <t>PMPH3J8NDXFHHGM4</t>
  </si>
  <si>
    <t>PC625</t>
  </si>
  <si>
    <t>LGTGXQCJMHHCTW8H</t>
  </si>
  <si>
    <t>BTBY6026-Xcape-NightGlow</t>
  </si>
  <si>
    <t>PC336</t>
  </si>
  <si>
    <t>LGTGXQBFYNJVCMPJ</t>
  </si>
  <si>
    <t>PC333</t>
  </si>
  <si>
    <t>HLMGXQDDUXJAVXP7</t>
  </si>
  <si>
    <t>BYLGXQHFMDFNVVGR</t>
  </si>
  <si>
    <t>PC342</t>
  </si>
  <si>
    <t>BYLGXQGH6WHNRF3Z</t>
  </si>
  <si>
    <t>LGTGXQBV7K9VJRZB</t>
  </si>
  <si>
    <t>PC334</t>
  </si>
  <si>
    <t>HLMH46JYXKYUGHE2</t>
  </si>
  <si>
    <t>PC595</t>
  </si>
  <si>
    <t>PC627</t>
  </si>
  <si>
    <t>HLMH4DBGZ7QJJCEE</t>
  </si>
  <si>
    <t>PC596</t>
  </si>
  <si>
    <t>PC591</t>
  </si>
  <si>
    <t>HLMH4DC4NFC72J57</t>
  </si>
  <si>
    <t>BYLH3JH6DQTVPAQK</t>
  </si>
  <si>
    <t>PC601</t>
  </si>
  <si>
    <t>LGTGXQJH4BGB4NRY</t>
  </si>
  <si>
    <t>PC391</t>
  </si>
  <si>
    <t>HLMGXQDZJSQMDKQV</t>
  </si>
  <si>
    <t>HT004G Xcape-Blue Black</t>
  </si>
  <si>
    <t>HLMGXQAXZHHBBYPN</t>
  </si>
  <si>
    <t>PC323</t>
  </si>
  <si>
    <t>LGTGZ4BYVZJUYWSK</t>
  </si>
  <si>
    <t>FENGWYJBD5MFRKWR</t>
  </si>
  <si>
    <t>FENGWYJRAQVZURNF</t>
  </si>
  <si>
    <t>PC205</t>
  </si>
  <si>
    <t>CVRGWYNX5XWGJ35V</t>
  </si>
  <si>
    <t>LGTH3JFQSHXGTAFP</t>
  </si>
  <si>
    <t>PC099</t>
  </si>
  <si>
    <t>LGTH4N6UBWN6D8AZ</t>
  </si>
  <si>
    <t>PC610</t>
  </si>
  <si>
    <t>MGUHACPS7RZZNXF3</t>
  </si>
  <si>
    <t>PC209</t>
  </si>
  <si>
    <t>BYLGPGHCVTAWZBBY</t>
  </si>
  <si>
    <t>PC030</t>
  </si>
  <si>
    <t>BNKHBBFAAHBQUGTC</t>
  </si>
  <si>
    <t>ECYHAFG9WGD7WFUF</t>
  </si>
  <si>
    <t>G1</t>
  </si>
  <si>
    <t>ECYHAYTKHFTZHVAS</t>
  </si>
  <si>
    <t>BPHGPGGPJYXGPSFS</t>
  </si>
  <si>
    <t>Phone Holder</t>
  </si>
  <si>
    <t>PC031</t>
  </si>
  <si>
    <t>BYLH3JHNEY8KVFGS</t>
  </si>
  <si>
    <t>Bikeguard - Xcape</t>
  </si>
  <si>
    <t>PC600</t>
  </si>
  <si>
    <t>BYLH3JHXC2G2GK2R</t>
  </si>
  <si>
    <t>ECYH2EDWPG9WF3AH</t>
  </si>
  <si>
    <t>B0CDGF8CDD</t>
  </si>
  <si>
    <t>Saddle cover- Xfactor</t>
  </si>
  <si>
    <t>PC652</t>
  </si>
  <si>
    <t>EM_FOAMLITE2</t>
  </si>
  <si>
    <t>Saddle Cover - Bliss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</si>
</sst>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[$-409]mmm/yy;@"/>
    <numFmt numFmtId="165" formatCode="_(* #,##0.00_);_(* \(#,##0.00\);_(* &quot;-&quot;??_);_(@_)"/>
    <numFmt numFmtId="166" formatCode="_(&quot;₹&quot;* #,##0.00_);_(&quot;₹&quot;* \(#,##0.00\);_(&quot;₹&quot;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212529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theme="7" tint="-0.24994659260841701"/>
      </left>
      <right style="hair">
        <color theme="7" tint="-0.24994659260841701"/>
      </right>
      <top/>
      <bottom style="hair">
        <color theme="7" tint="-0.24994659260841701"/>
      </bottom>
      <diagonal/>
    </border>
    <border>
      <left style="hair">
        <color theme="7" tint="-0.24994659260841701"/>
      </left>
      <right style="hair">
        <color theme="7" tint="-0.24994659260841701"/>
      </right>
      <top style="hair">
        <color theme="7" tint="-0.24994659260841701"/>
      </top>
      <bottom style="hair">
        <color theme="7" tint="-0.24994659260841701"/>
      </bottom>
      <diagonal/>
    </border>
    <border>
      <left/>
      <right style="hair">
        <color theme="7" tint="-0.24994659260841701"/>
      </right>
      <top style="hair">
        <color theme="7" tint="-0.24994659260841701"/>
      </top>
      <bottom style="hair">
        <color theme="7" tint="-0.2499465926084170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1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Fill="1" applyBorder="1"/>
    <xf numFmtId="0" fontId="3" fillId="0" borderId="1" xfId="0" applyFont="1" applyFill="1" applyBorder="1" applyAlignment="1">
      <alignment horizontal="left"/>
    </xf>
    <xf numFmtId="10" fontId="3" fillId="0" borderId="1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9" fontId="2" fillId="0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9" fontId="6" fillId="3" borderId="1" xfId="0" applyNumberFormat="1" applyFont="1" applyFill="1" applyBorder="1" applyAlignment="1">
      <alignment horizontal="center"/>
    </xf>
    <xf numFmtId="0" fontId="6" fillId="0" borderId="0" xfId="0" applyFont="1" applyFill="1"/>
    <xf numFmtId="0" fontId="6" fillId="0" borderId="2" xfId="0" applyFont="1" applyFill="1" applyBorder="1"/>
    <xf numFmtId="0" fontId="6" fillId="0" borderId="3" xfId="0" applyFont="1" applyFill="1" applyBorder="1"/>
    <xf numFmtId="0" fontId="2" fillId="3" borderId="1" xfId="0" applyFont="1" applyFill="1" applyBorder="1" applyAlignment="1">
      <alignment horizontal="left"/>
    </xf>
    <xf numFmtId="9" fontId="2" fillId="3" borderId="1" xfId="0" applyNumberFormat="1" applyFont="1" applyFill="1" applyBorder="1" applyAlignment="1">
      <alignment horizontal="left"/>
    </xf>
    <xf numFmtId="9" fontId="6" fillId="0" borderId="1" xfId="0" applyNumberFormat="1" applyFont="1" applyBorder="1" applyAlignment="1">
      <alignment horizontal="center"/>
    </xf>
    <xf numFmtId="0" fontId="6" fillId="0" borderId="0" xfId="0" applyFont="1" applyFill="1" applyBorder="1"/>
    <xf numFmtId="0" fontId="6" fillId="0" borderId="4" xfId="0" applyFont="1" applyFill="1" applyBorder="1"/>
    <xf numFmtId="164" fontId="2" fillId="0" borderId="1" xfId="0" applyNumberFormat="1" applyFont="1" applyFill="1" applyBorder="1" applyAlignment="1">
      <alignment horizontal="left"/>
    </xf>
    <xf numFmtId="14" fontId="6" fillId="0" borderId="4" xfId="0" applyNumberFormat="1" applyFont="1" applyFill="1" applyBorder="1"/>
    <xf numFmtId="0" fontId="2" fillId="0" borderId="1" xfId="0" applyFont="1" applyFill="1" applyBorder="1"/>
    <xf numFmtId="0" fontId="6" fillId="0" borderId="5" xfId="0" applyFont="1" applyFill="1" applyBorder="1"/>
    <xf numFmtId="10" fontId="2" fillId="0" borderId="0" xfId="0" applyNumberFormat="1" applyFont="1" applyFill="1" applyBorder="1" applyAlignment="1">
      <alignment horizontal="left"/>
    </xf>
    <xf numFmtId="0" fontId="6" fillId="0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9" fontId="2" fillId="0" borderId="1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9" fontId="2" fillId="3" borderId="1" xfId="0" applyNumberFormat="1" applyFont="1" applyFill="1" applyBorder="1" applyAlignment="1">
      <alignment horizontal="center"/>
    </xf>
    <xf numFmtId="0" fontId="7" fillId="0" borderId="7" xfId="0" applyFont="1" applyFill="1" applyBorder="1" applyAlignment="1">
      <alignment horizontal="left"/>
    </xf>
    <xf numFmtId="0" fontId="5" fillId="0" borderId="8" xfId="0" applyFont="1" applyBorder="1" applyAlignment="1">
      <alignment horizontal="left"/>
    </xf>
    <xf numFmtId="9" fontId="8" fillId="0" borderId="7" xfId="0" applyNumberFormat="1" applyFont="1" applyFill="1" applyBorder="1" applyAlignment="1">
      <alignment horizontal="left"/>
    </xf>
    <xf numFmtId="9" fontId="0" fillId="0" borderId="7" xfId="0" applyNumberFormat="1" applyFont="1" applyFill="1" applyBorder="1" applyAlignment="1">
      <alignment horizontal="left"/>
    </xf>
    <xf numFmtId="9" fontId="2" fillId="0" borderId="7" xfId="0" applyNumberFormat="1" applyFont="1" applyFill="1" applyBorder="1" applyAlignment="1">
      <alignment horizontal="left"/>
    </xf>
    <xf numFmtId="0" fontId="2" fillId="0" borderId="7" xfId="0" applyFont="1" applyFill="1" applyBorder="1"/>
    <xf numFmtId="0" fontId="9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</cellXfs>
  <cellStyles count="18">
    <cellStyle name="Comma 2" xfId="1"/>
    <cellStyle name="Comma 3" xfId="2"/>
    <cellStyle name="Comma 4" xfId="3"/>
    <cellStyle name="Comma 5" xfId="4"/>
    <cellStyle name="Currency 2" xfId="5"/>
    <cellStyle name="Normal" xfId="0" builtinId="0"/>
    <cellStyle name="Normal 2" xfId="6"/>
    <cellStyle name="Normal 3" xfId="7"/>
    <cellStyle name="Normal 3 2" xfId="8"/>
    <cellStyle name="Normal 4" xfId="9"/>
    <cellStyle name="Normal 4 2" xfId="10"/>
    <cellStyle name="Normal 5" xfId="11"/>
    <cellStyle name="Normal 5 2" xfId="12"/>
    <cellStyle name="Normal 6" xfId="13"/>
    <cellStyle name="Normal 6 2" xfId="14"/>
    <cellStyle name="Normal 7" xfId="15"/>
    <cellStyle name="Normal 8" xfId="16"/>
    <cellStyle name="Normal 8 2" xfId="17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489/Downloads/OMS%20Mapping%20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2">
          <cell r="C2" t="str">
            <v>X1 Ocean Blue-XX01EB0001 / EM01AV01C17</v>
          </cell>
          <cell r="D2" t="str">
            <v>PC010</v>
          </cell>
        </row>
        <row r="3">
          <cell r="C3" t="str">
            <v>Locksafe - Xcape</v>
          </cell>
          <cell r="D3" t="str">
            <v>PC615</v>
          </cell>
        </row>
        <row r="4">
          <cell r="C4" t="str">
            <v>Maxflow - Black</v>
          </cell>
          <cell r="D4" t="str">
            <v>PC624</v>
          </cell>
        </row>
        <row r="5">
          <cell r="C5" t="str">
            <v>X1 - Custom C Red - EM01AV03C19</v>
          </cell>
          <cell r="D5" t="str">
            <v>PC1044</v>
          </cell>
        </row>
        <row r="6">
          <cell r="C6" t="str">
            <v>Maxflow - Red</v>
          </cell>
          <cell r="D6" t="str">
            <v>PC625</v>
          </cell>
        </row>
        <row r="7">
          <cell r="C7" t="str">
            <v>Ultrasafe - Xcape</v>
          </cell>
          <cell r="D7" t="str">
            <v>PC601</v>
          </cell>
        </row>
        <row r="8">
          <cell r="C8" t="str">
            <v>X Factor Fenders Grey</v>
          </cell>
          <cell r="D8" t="str">
            <v>PC205</v>
          </cell>
        </row>
        <row r="9">
          <cell r="C9" t="str">
            <v>Saddle Cover - Nimbus</v>
          </cell>
          <cell r="D9" t="str">
            <v>PC1125</v>
          </cell>
        </row>
        <row r="10">
          <cell r="C10" t="str">
            <v>T-rex+ V1 27.5 Black Red (Customized)</v>
          </cell>
          <cell r="D10" t="str">
            <v>PC570</v>
          </cell>
        </row>
        <row r="11">
          <cell r="C11" t="str">
            <v>Fortknox Lock</v>
          </cell>
          <cell r="D11" t="str">
            <v>PC030</v>
          </cell>
        </row>
        <row r="12">
          <cell r="C12" t="str">
            <v>X Factor Fenders Red</v>
          </cell>
          <cell r="D12" t="str">
            <v>PC204</v>
          </cell>
        </row>
        <row r="13">
          <cell r="C13" t="str">
            <v>XF Carrier</v>
          </cell>
          <cell r="D13" t="str">
            <v>PC208</v>
          </cell>
        </row>
        <row r="14">
          <cell r="C14" t="str">
            <v>Fortknox Lite - Em</v>
          </cell>
          <cell r="D14" t="str">
            <v>PC602</v>
          </cell>
        </row>
        <row r="15">
          <cell r="C15" t="str">
            <v>Keyguard - Em</v>
          </cell>
          <cell r="D15" t="str">
            <v>PC603</v>
          </cell>
        </row>
        <row r="16">
          <cell r="C16" t="str">
            <v>T-Rex Air 29 Forest Fury - EM04AV01C41</v>
          </cell>
          <cell r="D16" t="str">
            <v>PC580</v>
          </cell>
        </row>
        <row r="17">
          <cell r="C17" t="str">
            <v>X2 Furious Red-XX02EB1001/EM02AV01C23</v>
          </cell>
          <cell r="D17" t="str">
            <v>PC012</v>
          </cell>
        </row>
        <row r="18">
          <cell r="C18" t="str">
            <v>Doodle V4 Indicator Edition - Native Pop - F032FV01C12</v>
          </cell>
          <cell r="D18" t="str">
            <v>PC673</v>
          </cell>
        </row>
        <row r="19">
          <cell r="C19" t="str">
            <v>Hydro Smart - Black</v>
          </cell>
          <cell r="D19" t="str">
            <v>PC662</v>
          </cell>
        </row>
        <row r="20">
          <cell r="C20" t="str">
            <v>Mini Air Pump</v>
          </cell>
          <cell r="D20" t="str">
            <v>PC026</v>
          </cell>
        </row>
        <row r="21">
          <cell r="C21" t="str">
            <v>X2 Sea Green -XX02EB1000/EM02AV01C22</v>
          </cell>
          <cell r="D21" t="str">
            <v>PC011</v>
          </cell>
        </row>
        <row r="22">
          <cell r="C22" t="str">
            <v>Airflow - Black</v>
          </cell>
          <cell r="D22" t="str">
            <v>PC617</v>
          </cell>
        </row>
        <row r="23">
          <cell r="C23" t="str">
            <v>T-Rex Air Sundown Yellow- Custom - EM04AV03C26</v>
          </cell>
          <cell r="D23" t="str">
            <v>PC869</v>
          </cell>
        </row>
        <row r="24">
          <cell r="C24" t="str">
            <v>T-Rex Air 27.5 Orange Blaze TM006EB0006/EM04BV01C34</v>
          </cell>
          <cell r="D24" t="str">
            <v>PC566</v>
          </cell>
        </row>
        <row r="25">
          <cell r="C25" t="str">
            <v>Doodle V3 Black Green - DF032EB0009/F032DV01C33</v>
          </cell>
          <cell r="D25" t="str">
            <v>PC547</v>
          </cell>
        </row>
        <row r="26">
          <cell r="C26" t="str">
            <v>BT6007 + BT6021 EM Lumous Light Combo</v>
          </cell>
          <cell r="D26" t="str">
            <v>PC368</v>
          </cell>
        </row>
        <row r="27">
          <cell r="C27" t="str">
            <v>LEGEND 07 BLACK -XX01EB0006/EM01AV03C04</v>
          </cell>
          <cell r="D27" t="str">
            <v>PC527</v>
          </cell>
        </row>
        <row r="28">
          <cell r="C28" t="str">
            <v>Jetflo - Orange</v>
          </cell>
          <cell r="D28" t="str">
            <v>PC619</v>
          </cell>
        </row>
        <row r="29">
          <cell r="C29" t="str">
            <v>ATV - Yellow - AT01AV01C28</v>
          </cell>
          <cell r="D29" t="str">
            <v>PC859</v>
          </cell>
        </row>
        <row r="30">
          <cell r="C30" t="str">
            <v>T-Rex Pro 27.5 inch -Spring Green-TP01BV01C56</v>
          </cell>
          <cell r="D30" t="str">
            <v>PC632</v>
          </cell>
        </row>
        <row r="31">
          <cell r="C31" t="str">
            <v>Beacon - Blue-M</v>
          </cell>
          <cell r="D31" t="str">
            <v>PC586</v>
          </cell>
        </row>
        <row r="32">
          <cell r="C32" t="str">
            <v>Beacon - Orange-M</v>
          </cell>
          <cell r="D32" t="str">
            <v>PC587</v>
          </cell>
        </row>
        <row r="33">
          <cell r="C33" t="str">
            <v>STX 27.5 inch - Beige - EM05AV02C38</v>
          </cell>
          <cell r="D33" t="str">
            <v>PC693</v>
          </cell>
        </row>
        <row r="34">
          <cell r="C34" t="str">
            <v>Air Plus Hand Pump</v>
          </cell>
          <cell r="D34" t="str">
            <v>PC027</v>
          </cell>
        </row>
        <row r="35">
          <cell r="C35" t="str">
            <v>X Factor Fenders Grey</v>
          </cell>
          <cell r="D35" t="str">
            <v>PC205</v>
          </cell>
        </row>
        <row r="36">
          <cell r="C36" t="str">
            <v>Flashtrail</v>
          </cell>
          <cell r="D36" t="str">
            <v>PC630</v>
          </cell>
        </row>
        <row r="37">
          <cell r="C37" t="str">
            <v>Ultrasafe - Xcape</v>
          </cell>
          <cell r="D37" t="str">
            <v>PC601</v>
          </cell>
        </row>
        <row r="38">
          <cell r="C38" t="str">
            <v>T-Rex Pro 29 inch -Spring Green-TP01AV01C56</v>
          </cell>
          <cell r="D38" t="str">
            <v>PC635</v>
          </cell>
        </row>
        <row r="39">
          <cell r="C39" t="str">
            <v>Freeflo - Yellow</v>
          </cell>
          <cell r="D39" t="str">
            <v>PC621</v>
          </cell>
        </row>
        <row r="40">
          <cell r="C40" t="str">
            <v>BTBY6001-NightVistaBTBY6001-NightVista Xcape</v>
          </cell>
          <cell r="D40" t="str">
            <v>PC333</v>
          </cell>
        </row>
        <row r="41">
          <cell r="C41" t="str">
            <v>T-Rex Air 27.5 Tropical Green EM04BV01C35/TM006EB0005</v>
          </cell>
          <cell r="D41" t="str">
            <v>PC567</v>
          </cell>
        </row>
        <row r="42">
          <cell r="C42" t="str">
            <v>Mini airjet - Black</v>
          </cell>
          <cell r="D42" t="str">
            <v>PC628</v>
          </cell>
        </row>
        <row r="43">
          <cell r="C43" t="str">
            <v>Aeroshield - Black/Green-M</v>
          </cell>
          <cell r="D43" t="str">
            <v>PC594</v>
          </cell>
        </row>
        <row r="44">
          <cell r="C44" t="str">
            <v>Kick Scooter - Red - KS01AV01C03</v>
          </cell>
          <cell r="D44" t="str">
            <v>PC861</v>
          </cell>
        </row>
        <row r="45">
          <cell r="C45" t="str">
            <v>X1 MSD Bleed Blue/EM01AV03C40</v>
          </cell>
          <cell r="D45" t="str">
            <v>PC574</v>
          </cell>
        </row>
        <row r="46">
          <cell r="C46" t="str">
            <v>Jetflo - Green</v>
          </cell>
          <cell r="D46" t="str">
            <v>PC618</v>
          </cell>
        </row>
        <row r="47">
          <cell r="C47" t="str">
            <v>ATV - White - AT01AV01C01</v>
          </cell>
          <cell r="D47" t="str">
            <v>PC860</v>
          </cell>
        </row>
        <row r="48">
          <cell r="C48" t="str">
            <v>Beacon helmet</v>
          </cell>
          <cell r="D48" t="str">
            <v>PC023</v>
          </cell>
        </row>
        <row r="49">
          <cell r="C49" t="str">
            <v>T-rex+ V3 29 Crimson black - M006DV03C39</v>
          </cell>
          <cell r="D49" t="str">
            <v>PC578</v>
          </cell>
        </row>
        <row r="50">
          <cell r="C50" t="str">
            <v>Beacon - Blue-L</v>
          </cell>
          <cell r="D50" t="str">
            <v>PC584</v>
          </cell>
        </row>
        <row r="51">
          <cell r="C51" t="str">
            <v>Lil E Red V2</v>
          </cell>
          <cell r="D51" t="str">
            <v>PC225</v>
          </cell>
        </row>
        <row r="52">
          <cell r="C52" t="str">
            <v>Metal Fender Set</v>
          </cell>
          <cell r="D52" t="str">
            <v>PC209</v>
          </cell>
        </row>
        <row r="53">
          <cell r="C53" t="str">
            <v>Kick Scooter - Blue - KS01AV01C29</v>
          </cell>
          <cell r="D53" t="str">
            <v>PC862</v>
          </cell>
        </row>
        <row r="54">
          <cell r="C54" t="str">
            <v>102.705B-XcapeLockNexus</v>
          </cell>
          <cell r="D54" t="str">
            <v>PC341</v>
          </cell>
        </row>
        <row r="55">
          <cell r="C55" t="str">
            <v>BTBY6001 + BTBY6026 (Xcape) VistaGlow Light Combo</v>
          </cell>
          <cell r="D55" t="str">
            <v>PC391</v>
          </cell>
        </row>
        <row r="56">
          <cell r="C56" t="str">
            <v>Trailarmour - Black-L</v>
          </cell>
          <cell r="D56" t="str">
            <v>PC595</v>
          </cell>
        </row>
        <row r="57">
          <cell r="C57" t="str">
            <v>Lil-E -Electric Blue 5.2Ah - K010AV02C16</v>
          </cell>
          <cell r="D57" t="str">
            <v>PC661</v>
          </cell>
        </row>
        <row r="58">
          <cell r="C58" t="str">
            <v>Fortknox Plus - Em</v>
          </cell>
          <cell r="D58" t="str">
            <v>PC590</v>
          </cell>
        </row>
        <row r="59">
          <cell r="C59" t="str">
            <v>Aeroshield - Red-M</v>
          </cell>
          <cell r="D59" t="str">
            <v>PC598</v>
          </cell>
        </row>
        <row r="60">
          <cell r="C60" t="str">
            <v>Aeroshield - Black/Green-L</v>
          </cell>
          <cell r="D60" t="str">
            <v>PC612</v>
          </cell>
        </row>
        <row r="61">
          <cell r="C61" t="str">
            <v>Aeroshield - Red-L</v>
          </cell>
          <cell r="D61" t="str">
            <v>PC599</v>
          </cell>
        </row>
        <row r="62">
          <cell r="C62" t="str">
            <v>T-Rex Pro 27.5 inch -Deep Purple</v>
          </cell>
          <cell r="D62" t="str">
            <v>PC633</v>
          </cell>
        </row>
        <row r="63">
          <cell r="C63" t="str">
            <v>Mini Aceman - White - JE88AV01C01</v>
          </cell>
          <cell r="D63" t="str">
            <v>PC766</v>
          </cell>
        </row>
        <row r="64">
          <cell r="C64" t="str">
            <v>HT19 EM-GlideGuard Yellow</v>
          </cell>
          <cell r="D64" t="str">
            <v>PC328</v>
          </cell>
        </row>
        <row r="65">
          <cell r="C65" t="str">
            <v>Trailarmour - Black-L</v>
          </cell>
          <cell r="D65" t="str">
            <v>PC595</v>
          </cell>
        </row>
        <row r="66">
          <cell r="C66" t="str">
            <v>Blazebeam</v>
          </cell>
          <cell r="D66" t="str">
            <v>PC589</v>
          </cell>
        </row>
        <row r="67">
          <cell r="C67" t="str">
            <v>BWBLF111-Xcape Spark sync</v>
          </cell>
          <cell r="D67" t="str">
            <v>PC334</v>
          </cell>
        </row>
        <row r="68">
          <cell r="C68" t="str">
            <v>BTBY6026-Xcape-NightGlow</v>
          </cell>
          <cell r="D68" t="str">
            <v>PC336</v>
          </cell>
        </row>
        <row r="69">
          <cell r="C69" t="str">
            <v>Airwave - Green</v>
          </cell>
          <cell r="D69" t="str">
            <v>PC622</v>
          </cell>
        </row>
        <row r="70">
          <cell r="C70" t="str">
            <v>Lumo</v>
          </cell>
          <cell r="D70" t="str">
            <v>PC629</v>
          </cell>
        </row>
        <row r="71">
          <cell r="C71" t="str">
            <v>Rear Tail Light</v>
          </cell>
          <cell r="D71" t="str">
            <v>PC099</v>
          </cell>
        </row>
        <row r="72">
          <cell r="C72" t="str">
            <v>T-rex+ V3 26inch Olive fade - M006DV01C48</v>
          </cell>
          <cell r="D72" t="str">
            <v>PC577</v>
          </cell>
        </row>
        <row r="73">
          <cell r="C73" t="str">
            <v>Airwave - White</v>
          </cell>
          <cell r="D73" t="str">
            <v>PC623</v>
          </cell>
        </row>
        <row r="74">
          <cell r="C74" t="str">
            <v>Airflow - Red</v>
          </cell>
          <cell r="D74" t="str">
            <v>PC616</v>
          </cell>
        </row>
        <row r="75">
          <cell r="C75" t="str">
            <v>Freeflo - Red</v>
          </cell>
          <cell r="D75" t="str">
            <v>PC620</v>
          </cell>
        </row>
        <row r="76">
          <cell r="C76" t="str">
            <v>Lumisafe - Black/White-L</v>
          </cell>
          <cell r="D76" t="str">
            <v>PC606</v>
          </cell>
        </row>
        <row r="77">
          <cell r="C77" t="str">
            <v>Firefly</v>
          </cell>
          <cell r="D77" t="str">
            <v>PC611</v>
          </cell>
        </row>
        <row r="78">
          <cell r="C78" t="str">
            <v>Trailarmour - Black/Red-M</v>
          </cell>
          <cell r="D78" t="str">
            <v>PC591</v>
          </cell>
        </row>
        <row r="79">
          <cell r="C79" t="str">
            <v>Trailarmour - Black/Red-M</v>
          </cell>
          <cell r="D79" t="str">
            <v>PC591</v>
          </cell>
        </row>
        <row r="80">
          <cell r="C80" t="str">
            <v>STX 27.5 inch - Teal Blue - EM05AV02C37</v>
          </cell>
          <cell r="D80" t="str">
            <v>PC694</v>
          </cell>
        </row>
        <row r="81">
          <cell r="C81" t="str">
            <v>Hydro Smart - Red</v>
          </cell>
          <cell r="D81" t="str">
            <v>PC665</v>
          </cell>
        </row>
        <row r="82">
          <cell r="C82" t="str">
            <v>LIL E Junior-Blue - M080AV01C29</v>
          </cell>
          <cell r="D82" t="str">
            <v xml:space="preserve">PC763	</v>
          </cell>
        </row>
        <row r="83">
          <cell r="C83" t="str">
            <v>LIL E Junior-Silver Grey - M080AV01C50</v>
          </cell>
          <cell r="D83" t="str">
            <v>PC762</v>
          </cell>
        </row>
        <row r="84">
          <cell r="C84" t="str">
            <v>Mini Aceman - Red - JE88AV01C03</v>
          </cell>
          <cell r="D84" t="str">
            <v>PC765</v>
          </cell>
        </row>
        <row r="85">
          <cell r="C85" t="str">
            <v>Pannier bag premium(Gray) - Journey Pro - BGT003-ASEM-A100-C47</v>
          </cell>
          <cell r="D85" t="str">
            <v>PC1129</v>
          </cell>
        </row>
        <row r="86">
          <cell r="C86" t="str">
            <v>HT21 Xcape-ZenithGuard</v>
          </cell>
          <cell r="D86" t="str">
            <v>PC323</v>
          </cell>
        </row>
        <row r="87">
          <cell r="C87" t="str">
            <v>Xcape-SecureSpin</v>
          </cell>
          <cell r="D87" t="str">
            <v>PC342</v>
          </cell>
        </row>
        <row r="88">
          <cell r="C88" t="str">
            <v>X1 MSD Pearl White - XX01EB0005/EM01AV03C21</v>
          </cell>
          <cell r="D88" t="str">
            <v>PC528</v>
          </cell>
        </row>
        <row r="89">
          <cell r="C89" t="str">
            <v>Lumisafe - Black/Green-L</v>
          </cell>
          <cell r="D89" t="str">
            <v>PC607</v>
          </cell>
        </row>
        <row r="90">
          <cell r="C90" t="str">
            <v>Trex+ V2 26</v>
          </cell>
          <cell r="D90" t="str">
            <v>PC222</v>
          </cell>
        </row>
        <row r="91">
          <cell r="C91" t="str">
            <v>T-rex+ V3 27.5inch Crimson black - M006DV02C39</v>
          </cell>
          <cell r="D91" t="str">
            <v>PC571</v>
          </cell>
        </row>
        <row r="92">
          <cell r="C92" t="str">
            <v>T-rex+ V3 27.5inch Olive fade - M006DV02C48</v>
          </cell>
          <cell r="D92" t="str">
            <v>PC576</v>
          </cell>
        </row>
        <row r="93">
          <cell r="C93" t="str">
            <v>Trex+ V3 29inch -Olive fade - M006DV03C48</v>
          </cell>
          <cell r="D93" t="str">
            <v>PC583</v>
          </cell>
        </row>
        <row r="94">
          <cell r="C94" t="str">
            <v>Trailarmour - Black/Red-L</v>
          </cell>
          <cell r="D94" t="str">
            <v>PC596</v>
          </cell>
        </row>
        <row r="95">
          <cell r="C95" t="str">
            <v>Nexus</v>
          </cell>
          <cell r="D95" t="str">
            <v>PC610</v>
          </cell>
        </row>
        <row r="96">
          <cell r="C96" t="str">
            <v>Lumisafe - Black/Green-M</v>
          </cell>
          <cell r="D96" t="str">
            <v>PC671</v>
          </cell>
        </row>
        <row r="97">
          <cell r="C97" t="str">
            <v>Lumisafe - Black/brown-M</v>
          </cell>
          <cell r="D97" t="str">
            <v>PC672</v>
          </cell>
        </row>
        <row r="98">
          <cell r="C98" t="str">
            <v>Trailarmour - Black-M</v>
          </cell>
          <cell r="D98" t="str">
            <v>PC627</v>
          </cell>
        </row>
        <row r="99">
          <cell r="C99" t="str">
            <v>Hydro Smart - White</v>
          </cell>
          <cell r="D99" t="str">
            <v>PC666</v>
          </cell>
        </row>
        <row r="100">
          <cell r="C100" t="str">
            <v>LIL E Junior-Red - M080AV01C03</v>
          </cell>
          <cell r="D100" t="str">
            <v>PC764</v>
          </cell>
        </row>
        <row r="101">
          <cell r="C101" t="str">
            <v>Zip Lock (L)</v>
          </cell>
          <cell r="D101" t="str">
            <v>PC668</v>
          </cell>
        </row>
        <row r="102">
          <cell r="C102" t="str">
            <v>Mini Aceman - Blue - JE88AV01C29</v>
          </cell>
          <cell r="D102" t="str">
            <v>PC870</v>
          </cell>
        </row>
        <row r="103">
          <cell r="C103" t="str">
            <v>EOL</v>
          </cell>
          <cell r="D103">
            <v>0</v>
          </cell>
        </row>
        <row r="104">
          <cell r="C104" t="str">
            <v>EOL</v>
          </cell>
          <cell r="D104">
            <v>0</v>
          </cell>
        </row>
        <row r="105">
          <cell r="C105" t="str">
            <v>Top tube bag - Touch</v>
          </cell>
          <cell r="D105" t="str">
            <v>PC1123</v>
          </cell>
        </row>
        <row r="106">
          <cell r="C106" t="str">
            <v>Pannier bag premium(Gray) - Journey Pro - BGT003-ASEM-A100-C47</v>
          </cell>
          <cell r="D106" t="str">
            <v>PC1129</v>
          </cell>
        </row>
        <row r="107">
          <cell r="C107" t="str">
            <v>G1 - C Orange - CRX6AV01C57</v>
          </cell>
          <cell r="D107" t="str">
            <v>PC866</v>
          </cell>
        </row>
        <row r="108">
          <cell r="C108" t="str">
            <v>G1 - C Black - CRX6AV01C43</v>
          </cell>
          <cell r="D108" t="str">
            <v>PC867</v>
          </cell>
        </row>
        <row r="109">
          <cell r="C109" t="str">
            <v>MF Seat Cover X1&amp;X2</v>
          </cell>
          <cell r="D109" t="str">
            <v>PC203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9"/>
  <sheetViews>
    <sheetView tabSelected="1" zoomScaleNormal="100" workbookViewId="0">
      <selection activeCell="B15" sqref="B15"/>
    </sheetView>
  </sheetViews>
  <sheetFormatPr defaultColWidth="9.140625" defaultRowHeight="18" customHeight="1" x14ac:dyDescent="0.2"/>
  <cols>
    <col min="1" max="1" width="10.42578125" style="1" customWidth="1"/>
    <col min="2" max="2" width="40" style="1" customWidth="1"/>
    <col min="3" max="3" width="9.85546875" style="5" customWidth="1"/>
    <col min="4" max="4" width="9.5703125" style="26" customWidth="1"/>
    <col min="5" max="5" width="4.140625" style="1" customWidth="1"/>
    <col min="6" max="6" width="19.5703125" style="5" customWidth="1"/>
    <col min="7" max="7" width="17.5703125" style="5" customWidth="1"/>
    <col min="8" max="8" width="11.140625" style="5" customWidth="1"/>
    <col min="9" max="9" width="25.140625" style="5" customWidth="1"/>
    <col min="10" max="10" width="11.42578125" style="5" customWidth="1"/>
    <col min="11" max="11" width="9.140625" style="1"/>
    <col min="12" max="12" width="9.140625" style="6"/>
    <col min="13" max="16384" width="9.140625" style="1"/>
  </cols>
  <sheetData>
    <row r="1" spans="2:17" ht="18" customHeight="1" x14ac:dyDescent="0.2">
      <c r="B1" s="2" t="s">
        <v>0</v>
      </c>
      <c r="C1" s="2" t="s">
        <v>1</v>
      </c>
      <c r="D1" s="3" t="s">
        <v>2</v>
      </c>
      <c r="F1" s="4" t="s">
        <v>3</v>
      </c>
      <c r="G1" s="4" t="s">
        <v>4</v>
      </c>
    </row>
    <row r="2" spans="2:17" ht="18" customHeight="1" x14ac:dyDescent="0.2">
      <c r="B2" s="7" t="s">
        <v>5</v>
      </c>
      <c r="C2" s="7">
        <v>87116090</v>
      </c>
      <c r="D2" s="8">
        <v>0.05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0" t="s">
        <v>11</v>
      </c>
      <c r="L2" s="10" t="s">
        <v>2</v>
      </c>
    </row>
    <row r="3" spans="2:17" ht="18" customHeight="1" x14ac:dyDescent="0.2">
      <c r="B3" s="7" t="s">
        <v>12</v>
      </c>
      <c r="C3" s="7">
        <v>65061090</v>
      </c>
      <c r="D3" s="8">
        <v>0.18</v>
      </c>
      <c r="F3" s="11" t="s">
        <v>13</v>
      </c>
      <c r="G3" s="11" t="s">
        <v>14</v>
      </c>
      <c r="H3" s="11" t="s">
        <v>15</v>
      </c>
      <c r="I3" s="11" t="s">
        <v>16</v>
      </c>
      <c r="J3" s="11" t="str">
        <f>VLOOKUP(I3,[1]Sheet1!$C$2:$D$109,2,0)</f>
        <v>PC617</v>
      </c>
      <c r="K3" s="12">
        <v>84142010</v>
      </c>
      <c r="L3" s="13">
        <v>0.18</v>
      </c>
      <c r="M3" s="14"/>
      <c r="N3" s="14"/>
      <c r="O3" s="15"/>
      <c r="P3" s="15"/>
      <c r="Q3" s="15"/>
    </row>
    <row r="4" spans="2:17" ht="18" customHeight="1" x14ac:dyDescent="0.2">
      <c r="B4" s="7" t="s">
        <v>17</v>
      </c>
      <c r="C4" s="7">
        <v>65061090</v>
      </c>
      <c r="D4" s="8">
        <v>0.18</v>
      </c>
      <c r="F4" s="11" t="s">
        <v>18</v>
      </c>
      <c r="G4" s="11" t="s">
        <v>14</v>
      </c>
      <c r="H4" s="11" t="s">
        <v>15</v>
      </c>
      <c r="I4" s="11" t="s">
        <v>19</v>
      </c>
      <c r="J4" s="11" t="str">
        <f>VLOOKUP(I4,[1]Sheet1!$C$2:$D$109,2,0)</f>
        <v>PC616</v>
      </c>
      <c r="K4" s="12">
        <v>84142010</v>
      </c>
      <c r="L4" s="13">
        <v>0.18</v>
      </c>
      <c r="M4" s="14"/>
      <c r="N4" s="14"/>
      <c r="O4" s="15"/>
      <c r="P4" s="15"/>
      <c r="Q4" s="15"/>
    </row>
    <row r="5" spans="2:17" ht="18" customHeight="1" x14ac:dyDescent="0.2">
      <c r="B5" s="7" t="s">
        <v>20</v>
      </c>
      <c r="C5" s="7">
        <v>83014090</v>
      </c>
      <c r="D5" s="8">
        <v>0.18</v>
      </c>
      <c r="F5" s="11" t="s">
        <v>21</v>
      </c>
      <c r="G5" s="11" t="s">
        <v>14</v>
      </c>
      <c r="H5" s="11" t="s">
        <v>15</v>
      </c>
      <c r="I5" s="11" t="s">
        <v>22</v>
      </c>
      <c r="J5" s="11" t="str">
        <f>VLOOKUP(I5,[1]Sheet1!$C$2:$D$109,2,0)</f>
        <v>PC622</v>
      </c>
      <c r="K5" s="12">
        <v>84142010</v>
      </c>
      <c r="L5" s="13">
        <v>0.18</v>
      </c>
      <c r="M5" s="14"/>
      <c r="N5" s="14"/>
      <c r="O5" s="15"/>
      <c r="P5" s="15"/>
      <c r="Q5" s="15"/>
    </row>
    <row r="6" spans="2:17" ht="18" customHeight="1" x14ac:dyDescent="0.2">
      <c r="B6" s="7" t="s">
        <v>23</v>
      </c>
      <c r="C6" s="7">
        <v>83014090</v>
      </c>
      <c r="D6" s="8">
        <v>0.18</v>
      </c>
      <c r="F6" s="11" t="s">
        <v>24</v>
      </c>
      <c r="G6" s="11" t="s">
        <v>14</v>
      </c>
      <c r="H6" s="11" t="s">
        <v>15</v>
      </c>
      <c r="I6" s="11" t="s">
        <v>25</v>
      </c>
      <c r="J6" s="11" t="str">
        <f>VLOOKUP(I6,[1]Sheet1!$C$2:$D$109,2,0)</f>
        <v>PC623</v>
      </c>
      <c r="K6" s="12">
        <v>84142010</v>
      </c>
      <c r="L6" s="13">
        <v>0.18</v>
      </c>
      <c r="M6" s="14"/>
      <c r="N6" s="14"/>
      <c r="O6" s="16"/>
      <c r="P6" s="16"/>
      <c r="Q6" s="15"/>
    </row>
    <row r="7" spans="2:17" ht="18" customHeight="1" x14ac:dyDescent="0.2">
      <c r="B7" s="17" t="s">
        <v>26</v>
      </c>
      <c r="C7" s="17">
        <v>87149990</v>
      </c>
      <c r="D7" s="18">
        <v>0.18</v>
      </c>
      <c r="F7" s="11" t="s">
        <v>27</v>
      </c>
      <c r="G7" s="11" t="s">
        <v>14</v>
      </c>
      <c r="H7" s="11" t="s">
        <v>28</v>
      </c>
      <c r="I7" s="11" t="s">
        <v>29</v>
      </c>
      <c r="J7" s="11" t="str">
        <f>VLOOKUP(I7,[1]Sheet1!$C$2:$D$109,2,0)</f>
        <v>PC584</v>
      </c>
      <c r="K7" s="12">
        <v>65061090</v>
      </c>
      <c r="L7" s="19">
        <v>0.18</v>
      </c>
      <c r="M7" s="14"/>
      <c r="N7" s="14"/>
      <c r="O7" s="16"/>
      <c r="P7" s="16"/>
      <c r="Q7" s="15"/>
    </row>
    <row r="8" spans="2:17" ht="18" customHeight="1" x14ac:dyDescent="0.2">
      <c r="B8" s="7" t="s">
        <v>30</v>
      </c>
      <c r="C8" s="7">
        <v>42029900</v>
      </c>
      <c r="D8" s="8">
        <v>0.18</v>
      </c>
      <c r="F8" s="11" t="s">
        <v>31</v>
      </c>
      <c r="G8" s="11" t="s">
        <v>14</v>
      </c>
      <c r="H8" s="11" t="s">
        <v>28</v>
      </c>
      <c r="I8" s="11" t="s">
        <v>29</v>
      </c>
      <c r="J8" s="11" t="str">
        <f>VLOOKUP(I8,[1]Sheet1!$C$2:$D$109,2,0)</f>
        <v>PC584</v>
      </c>
      <c r="K8" s="12">
        <v>65061090</v>
      </c>
      <c r="L8" s="19">
        <v>0.18</v>
      </c>
      <c r="M8" s="14"/>
      <c r="N8" s="14"/>
      <c r="O8" s="16"/>
      <c r="P8" s="16"/>
      <c r="Q8" s="15"/>
    </row>
    <row r="9" spans="2:17" ht="18" customHeight="1" x14ac:dyDescent="0.2">
      <c r="B9" s="7" t="s">
        <v>32</v>
      </c>
      <c r="C9" s="7">
        <v>84142010</v>
      </c>
      <c r="D9" s="18">
        <v>0.18</v>
      </c>
      <c r="F9" s="11" t="s">
        <v>33</v>
      </c>
      <c r="G9" s="11" t="s">
        <v>14</v>
      </c>
      <c r="H9" s="11" t="s">
        <v>28</v>
      </c>
      <c r="I9" s="11" t="s">
        <v>34</v>
      </c>
      <c r="J9" s="11" t="str">
        <f>VLOOKUP(I9,[1]Sheet1!$C$2:$D$109,2,0)</f>
        <v>PC586</v>
      </c>
      <c r="K9" s="12">
        <v>65061090</v>
      </c>
      <c r="L9" s="19">
        <v>0.18</v>
      </c>
      <c r="M9" s="14"/>
      <c r="N9" s="14"/>
      <c r="O9" s="16"/>
      <c r="P9" s="16"/>
      <c r="Q9" s="15"/>
    </row>
    <row r="10" spans="2:17" ht="18" customHeight="1" x14ac:dyDescent="0.2">
      <c r="B10" s="7" t="s">
        <v>35</v>
      </c>
      <c r="C10" s="7">
        <v>84142010</v>
      </c>
      <c r="D10" s="18">
        <v>0.18</v>
      </c>
      <c r="F10" s="11" t="s">
        <v>36</v>
      </c>
      <c r="G10" s="11" t="s">
        <v>14</v>
      </c>
      <c r="H10" s="11" t="s">
        <v>28</v>
      </c>
      <c r="I10" s="11" t="s">
        <v>37</v>
      </c>
      <c r="J10" s="11" t="str">
        <f>VLOOKUP(I10,[1]Sheet1!$C$2:$D$109,2,0)</f>
        <v>PC587</v>
      </c>
      <c r="K10" s="12">
        <v>65061090</v>
      </c>
      <c r="L10" s="19">
        <v>0.18</v>
      </c>
      <c r="M10" s="14"/>
      <c r="N10" s="14"/>
      <c r="O10" s="16"/>
      <c r="P10" s="16"/>
      <c r="Q10" s="15"/>
    </row>
    <row r="11" spans="2:17" ht="18" customHeight="1" x14ac:dyDescent="0.2">
      <c r="B11" s="7" t="s">
        <v>38</v>
      </c>
      <c r="C11" s="7">
        <v>84142010</v>
      </c>
      <c r="D11" s="18">
        <v>0.18</v>
      </c>
      <c r="F11" s="11" t="s">
        <v>39</v>
      </c>
      <c r="G11" s="11" t="s">
        <v>14</v>
      </c>
      <c r="H11" s="11" t="s">
        <v>40</v>
      </c>
      <c r="I11" s="11" t="s">
        <v>41</v>
      </c>
      <c r="J11" s="11" t="s">
        <v>42</v>
      </c>
      <c r="K11" s="12">
        <v>83014090</v>
      </c>
      <c r="L11" s="19">
        <v>0.18</v>
      </c>
      <c r="M11" s="14"/>
      <c r="N11" s="14"/>
      <c r="O11" s="16"/>
      <c r="P11" s="16"/>
      <c r="Q11" s="15"/>
    </row>
    <row r="12" spans="2:17" ht="18" customHeight="1" x14ac:dyDescent="0.2">
      <c r="B12" s="7" t="s">
        <v>43</v>
      </c>
      <c r="C12" s="7">
        <v>998725</v>
      </c>
      <c r="D12" s="8">
        <v>0.18</v>
      </c>
      <c r="F12" s="11" t="s">
        <v>44</v>
      </c>
      <c r="G12" s="11" t="s">
        <v>14</v>
      </c>
      <c r="H12" s="11" t="s">
        <v>28</v>
      </c>
      <c r="I12" s="11" t="s">
        <v>45</v>
      </c>
      <c r="J12" s="11" t="str">
        <f>VLOOKUP(I12,[1]Sheet1!$C$2:$D$109,2,0)</f>
        <v>PC023</v>
      </c>
      <c r="K12" s="12">
        <v>65061090</v>
      </c>
      <c r="L12" s="19">
        <v>0.18</v>
      </c>
      <c r="M12" s="14"/>
      <c r="N12" s="14"/>
      <c r="O12" s="16"/>
      <c r="P12" s="16"/>
      <c r="Q12" s="15"/>
    </row>
    <row r="13" spans="2:17" ht="18" customHeight="1" x14ac:dyDescent="0.2">
      <c r="B13" s="7" t="s">
        <v>46</v>
      </c>
      <c r="C13" s="7">
        <v>996511</v>
      </c>
      <c r="D13" s="8">
        <v>0.18</v>
      </c>
      <c r="F13" s="11" t="s">
        <v>47</v>
      </c>
      <c r="G13" s="11" t="s">
        <v>48</v>
      </c>
      <c r="H13" s="11" t="s">
        <v>49</v>
      </c>
      <c r="I13" s="11" t="s">
        <v>50</v>
      </c>
      <c r="J13" s="11" t="s">
        <v>51</v>
      </c>
      <c r="K13" s="12">
        <v>87116090</v>
      </c>
      <c r="L13" s="19">
        <v>0.05</v>
      </c>
      <c r="M13" s="14"/>
      <c r="N13" s="14"/>
      <c r="O13" s="16"/>
      <c r="P13" s="16"/>
      <c r="Q13" s="15"/>
    </row>
    <row r="14" spans="2:17" ht="18" customHeight="1" x14ac:dyDescent="0.2">
      <c r="B14" s="7" t="s">
        <v>52</v>
      </c>
      <c r="C14" s="7">
        <v>998599</v>
      </c>
      <c r="D14" s="8">
        <v>0.18</v>
      </c>
      <c r="F14" s="11" t="s">
        <v>53</v>
      </c>
      <c r="G14" s="11" t="s">
        <v>48</v>
      </c>
      <c r="H14" s="11" t="s">
        <v>49</v>
      </c>
      <c r="I14" s="11" t="s">
        <v>50</v>
      </c>
      <c r="J14" s="11" t="s">
        <v>51</v>
      </c>
      <c r="K14" s="12">
        <v>87116090</v>
      </c>
      <c r="L14" s="19">
        <v>0.05</v>
      </c>
      <c r="M14" s="20"/>
      <c r="N14" s="20"/>
      <c r="O14" s="16"/>
      <c r="P14" s="16"/>
      <c r="Q14" s="15"/>
    </row>
    <row r="15" spans="2:17" ht="18" customHeight="1" x14ac:dyDescent="0.2">
      <c r="B15" s="7" t="s">
        <v>54</v>
      </c>
      <c r="C15" s="7">
        <v>997324</v>
      </c>
      <c r="D15" s="8">
        <v>0.18</v>
      </c>
      <c r="F15" s="11" t="s">
        <v>55</v>
      </c>
      <c r="G15" s="11" t="s">
        <v>48</v>
      </c>
      <c r="H15" s="11" t="s">
        <v>49</v>
      </c>
      <c r="I15" s="11" t="s">
        <v>56</v>
      </c>
      <c r="J15" s="11" t="s">
        <v>57</v>
      </c>
      <c r="K15" s="12">
        <v>87116090</v>
      </c>
      <c r="L15" s="19">
        <v>0.05</v>
      </c>
      <c r="M15" s="20"/>
      <c r="N15" s="20"/>
      <c r="O15" s="16"/>
      <c r="P15" s="16"/>
      <c r="Q15" s="15"/>
    </row>
    <row r="16" spans="2:17" ht="18" customHeight="1" x14ac:dyDescent="0.2">
      <c r="B16" s="7" t="s">
        <v>58</v>
      </c>
      <c r="C16" s="7">
        <v>998211</v>
      </c>
      <c r="D16" s="8">
        <v>0.18</v>
      </c>
      <c r="F16" s="11" t="s">
        <v>59</v>
      </c>
      <c r="G16" s="11" t="s">
        <v>14</v>
      </c>
      <c r="H16" s="11" t="s">
        <v>60</v>
      </c>
      <c r="I16" s="11" t="s">
        <v>61</v>
      </c>
      <c r="J16" s="11" t="e">
        <f>VLOOKUP(I16,[1]Sheet1!$C$2:$D$109,2,0)</f>
        <v>#N/A</v>
      </c>
      <c r="K16" s="12">
        <v>87149990</v>
      </c>
      <c r="L16" s="19">
        <v>0.18</v>
      </c>
      <c r="M16" s="20"/>
      <c r="N16" s="20"/>
      <c r="O16" s="16"/>
      <c r="P16" s="16"/>
      <c r="Q16" s="15"/>
    </row>
    <row r="17" spans="2:17" ht="18" customHeight="1" x14ac:dyDescent="0.2">
      <c r="B17" s="7" t="s">
        <v>62</v>
      </c>
      <c r="C17" s="7">
        <v>61169990</v>
      </c>
      <c r="D17" s="8">
        <v>0.05</v>
      </c>
      <c r="F17" s="11" t="s">
        <v>63</v>
      </c>
      <c r="G17" s="11" t="s">
        <v>14</v>
      </c>
      <c r="H17" s="11" t="s">
        <v>15</v>
      </c>
      <c r="I17" s="11" t="s">
        <v>64</v>
      </c>
      <c r="J17" s="11" t="str">
        <f>VLOOKUP(I17,[1]Sheet1!$C$2:$D$109,2,0)</f>
        <v>PC026</v>
      </c>
      <c r="K17" s="12">
        <v>84142010</v>
      </c>
      <c r="L17" s="13">
        <v>0.18</v>
      </c>
      <c r="M17" s="20"/>
      <c r="N17" s="20"/>
      <c r="O17" s="16"/>
      <c r="P17" s="16"/>
      <c r="Q17" s="15"/>
    </row>
    <row r="18" spans="2:17" ht="18" customHeight="1" x14ac:dyDescent="0.2">
      <c r="B18" s="7" t="s">
        <v>65</v>
      </c>
      <c r="C18" s="7">
        <v>61091000</v>
      </c>
      <c r="D18" s="8">
        <v>0.05</v>
      </c>
      <c r="F18" s="11" t="s">
        <v>66</v>
      </c>
      <c r="G18" s="11" t="s">
        <v>14</v>
      </c>
      <c r="H18" s="11" t="s">
        <v>67</v>
      </c>
      <c r="I18" s="11" t="s">
        <v>68</v>
      </c>
      <c r="J18" s="11" t="str">
        <f>VLOOKUP(I18,[1]Sheet1!$C$2:$D$109,2,0)</f>
        <v>PC1129</v>
      </c>
      <c r="K18" s="12">
        <v>42029900</v>
      </c>
      <c r="L18" s="19">
        <v>0.18</v>
      </c>
      <c r="M18" s="20"/>
      <c r="N18" s="20"/>
      <c r="O18" s="16"/>
      <c r="P18" s="16"/>
      <c r="Q18" s="15"/>
    </row>
    <row r="19" spans="2:17" ht="18" customHeight="1" x14ac:dyDescent="0.2">
      <c r="B19" s="7" t="s">
        <v>69</v>
      </c>
      <c r="C19" s="7">
        <v>61091000</v>
      </c>
      <c r="D19" s="8">
        <v>0.05</v>
      </c>
      <c r="F19" s="11" t="s">
        <v>70</v>
      </c>
      <c r="G19" s="11" t="s">
        <v>14</v>
      </c>
      <c r="H19" s="11" t="s">
        <v>28</v>
      </c>
      <c r="I19" s="11" t="s">
        <v>71</v>
      </c>
      <c r="J19" s="11" t="s">
        <v>72</v>
      </c>
      <c r="K19" s="12">
        <v>65061090</v>
      </c>
      <c r="L19" s="19">
        <v>0.18</v>
      </c>
      <c r="M19" s="20"/>
      <c r="N19" s="20"/>
      <c r="O19" s="16"/>
      <c r="P19" s="16"/>
      <c r="Q19" s="15"/>
    </row>
    <row r="20" spans="2:17" ht="18" customHeight="1" x14ac:dyDescent="0.2">
      <c r="B20" s="7" t="s">
        <v>73</v>
      </c>
      <c r="C20" s="7">
        <v>61013010</v>
      </c>
      <c r="D20" s="8">
        <v>0.05</v>
      </c>
      <c r="F20" s="11" t="s">
        <v>74</v>
      </c>
      <c r="G20" s="11" t="s">
        <v>14</v>
      </c>
      <c r="H20" s="11" t="s">
        <v>28</v>
      </c>
      <c r="I20" s="11" t="s">
        <v>75</v>
      </c>
      <c r="J20" s="11" t="s">
        <v>76</v>
      </c>
      <c r="K20" s="12">
        <v>65061090</v>
      </c>
      <c r="L20" s="19">
        <v>0.18</v>
      </c>
      <c r="M20" s="20"/>
      <c r="N20" s="20"/>
      <c r="O20" s="16"/>
      <c r="P20" s="16"/>
      <c r="Q20" s="15"/>
    </row>
    <row r="21" spans="2:17" ht="18" customHeight="1" x14ac:dyDescent="0.2">
      <c r="B21" s="7" t="s">
        <v>77</v>
      </c>
      <c r="C21" s="7">
        <v>87149990</v>
      </c>
      <c r="D21" s="8">
        <v>0.28000000000000003</v>
      </c>
      <c r="F21" s="11" t="s">
        <v>78</v>
      </c>
      <c r="G21" s="11" t="s">
        <v>14</v>
      </c>
      <c r="H21" s="11" t="s">
        <v>15</v>
      </c>
      <c r="I21" s="11" t="s">
        <v>79</v>
      </c>
      <c r="J21" s="11" t="str">
        <f>VLOOKUP(I21,[1]Sheet1!$C$2:$D$109,2,0)</f>
        <v>PC027</v>
      </c>
      <c r="K21" s="12">
        <v>84142010</v>
      </c>
      <c r="L21" s="13">
        <v>0.18</v>
      </c>
      <c r="M21" s="20"/>
      <c r="N21" s="20"/>
      <c r="O21" s="16"/>
      <c r="P21" s="16"/>
      <c r="Q21" s="15"/>
    </row>
    <row r="22" spans="2:17" ht="18" customHeight="1" x14ac:dyDescent="0.2">
      <c r="B22" s="7" t="s">
        <v>80</v>
      </c>
      <c r="C22" s="7">
        <v>76169990</v>
      </c>
      <c r="D22" s="8">
        <v>0.18</v>
      </c>
      <c r="F22" s="11" t="s">
        <v>81</v>
      </c>
      <c r="G22" s="11" t="s">
        <v>48</v>
      </c>
      <c r="H22" s="11" t="s">
        <v>49</v>
      </c>
      <c r="I22" s="11" t="s">
        <v>82</v>
      </c>
      <c r="J22" s="11" t="str">
        <f>VLOOKUP(I22,[1]Sheet1!$C$2:$D$109,2,0)</f>
        <v>PC222</v>
      </c>
      <c r="K22" s="12">
        <v>87116090</v>
      </c>
      <c r="L22" s="19">
        <v>0.05</v>
      </c>
      <c r="M22" s="20"/>
      <c r="N22" s="20"/>
      <c r="O22" s="16"/>
      <c r="P22" s="16"/>
      <c r="Q22" s="15"/>
    </row>
    <row r="23" spans="2:17" ht="18" customHeight="1" x14ac:dyDescent="0.2">
      <c r="B23" s="7" t="s">
        <v>83</v>
      </c>
      <c r="C23" s="7">
        <v>63062990</v>
      </c>
      <c r="D23" s="8">
        <v>0.12</v>
      </c>
      <c r="F23" s="11" t="s">
        <v>84</v>
      </c>
      <c r="G23" s="11" t="s">
        <v>48</v>
      </c>
      <c r="H23" s="11" t="s">
        <v>49</v>
      </c>
      <c r="I23" s="11" t="s">
        <v>85</v>
      </c>
      <c r="J23" s="11" t="str">
        <f>VLOOKUP(I23,[1]Sheet1!$C$2:$D$109,2,0)</f>
        <v>PC576</v>
      </c>
      <c r="K23" s="12">
        <v>87116090</v>
      </c>
      <c r="L23" s="19">
        <v>0.05</v>
      </c>
      <c r="M23" s="20"/>
      <c r="N23" s="20"/>
      <c r="O23" s="16"/>
      <c r="P23" s="16"/>
      <c r="Q23" s="15"/>
    </row>
    <row r="24" spans="2:17" ht="18" customHeight="1" x14ac:dyDescent="0.2">
      <c r="B24" s="7" t="s">
        <v>86</v>
      </c>
      <c r="C24" s="7">
        <v>49011020</v>
      </c>
      <c r="D24" s="8">
        <v>0.05</v>
      </c>
      <c r="F24" s="11" t="s">
        <v>87</v>
      </c>
      <c r="G24" s="11" t="s">
        <v>48</v>
      </c>
      <c r="H24" s="11" t="s">
        <v>49</v>
      </c>
      <c r="I24" s="11" t="s">
        <v>88</v>
      </c>
      <c r="J24" s="11" t="str">
        <f>VLOOKUP(I24,[1]Sheet1!$C$2:$D$109,2,0)</f>
        <v>PC577</v>
      </c>
      <c r="K24" s="12">
        <v>87116090</v>
      </c>
      <c r="L24" s="19">
        <v>0.05</v>
      </c>
      <c r="M24" s="20"/>
      <c r="N24" s="20"/>
      <c r="O24" s="16"/>
      <c r="P24" s="16"/>
      <c r="Q24" s="15"/>
    </row>
    <row r="25" spans="2:17" ht="18" customHeight="1" x14ac:dyDescent="0.2">
      <c r="B25" s="7" t="s">
        <v>89</v>
      </c>
      <c r="C25" s="7">
        <v>48022090</v>
      </c>
      <c r="D25" s="8">
        <v>0.12</v>
      </c>
      <c r="F25" s="11" t="s">
        <v>90</v>
      </c>
      <c r="G25" s="11" t="s">
        <v>48</v>
      </c>
      <c r="H25" s="11" t="s">
        <v>49</v>
      </c>
      <c r="I25" s="11" t="s">
        <v>91</v>
      </c>
      <c r="J25" s="11" t="str">
        <f>VLOOKUP(I25,[1]Sheet1!$C$2:$D$109,2,0)</f>
        <v>PC571</v>
      </c>
      <c r="K25" s="12">
        <v>87116090</v>
      </c>
      <c r="L25" s="19">
        <v>0.05</v>
      </c>
      <c r="M25" s="21"/>
      <c r="N25" s="16"/>
      <c r="O25" s="16"/>
      <c r="P25" s="16"/>
      <c r="Q25" s="15"/>
    </row>
    <row r="26" spans="2:17" ht="18" customHeight="1" x14ac:dyDescent="0.2">
      <c r="B26" s="7" t="s">
        <v>92</v>
      </c>
      <c r="C26" s="7">
        <v>48101920</v>
      </c>
      <c r="D26" s="8">
        <v>0.12</v>
      </c>
      <c r="F26" s="11" t="s">
        <v>93</v>
      </c>
      <c r="G26" s="11" t="s">
        <v>48</v>
      </c>
      <c r="H26" s="11" t="s">
        <v>49</v>
      </c>
      <c r="I26" s="11" t="s">
        <v>94</v>
      </c>
      <c r="J26" s="11" t="str">
        <f>VLOOKUP(I26,[1]Sheet1!$C$2:$D$109,2,0)</f>
        <v>PC583</v>
      </c>
      <c r="K26" s="12">
        <v>87116090</v>
      </c>
      <c r="L26" s="19">
        <v>0.05</v>
      </c>
      <c r="M26" s="21"/>
      <c r="N26" s="16"/>
      <c r="O26" s="16"/>
      <c r="P26" s="16"/>
      <c r="Q26" s="15"/>
    </row>
    <row r="27" spans="2:17" ht="18" customHeight="1" x14ac:dyDescent="0.2">
      <c r="B27" s="7" t="s">
        <v>95</v>
      </c>
      <c r="C27" s="7">
        <v>85076000</v>
      </c>
      <c r="D27" s="8">
        <v>0.18</v>
      </c>
      <c r="F27" s="11" t="s">
        <v>96</v>
      </c>
      <c r="G27" s="11" t="s">
        <v>14</v>
      </c>
      <c r="H27" s="11" t="s">
        <v>60</v>
      </c>
      <c r="I27" s="11" t="s">
        <v>97</v>
      </c>
      <c r="J27" s="11" t="str">
        <f>VLOOKUP(I27,[1]Sheet1!$C$2:$D$109,2,0)</f>
        <v>PC611</v>
      </c>
      <c r="K27" s="12">
        <v>87149990</v>
      </c>
      <c r="L27" s="19">
        <v>0.18</v>
      </c>
      <c r="M27" s="21"/>
      <c r="N27" s="16"/>
      <c r="O27" s="16"/>
      <c r="P27" s="16"/>
      <c r="Q27" s="15"/>
    </row>
    <row r="28" spans="2:17" ht="18" customHeight="1" x14ac:dyDescent="0.2">
      <c r="B28" s="7" t="s">
        <v>98</v>
      </c>
      <c r="C28" s="7">
        <v>85044030</v>
      </c>
      <c r="D28" s="8">
        <v>0.18</v>
      </c>
      <c r="F28" s="11" t="s">
        <v>99</v>
      </c>
      <c r="G28" s="11" t="s">
        <v>14</v>
      </c>
      <c r="H28" s="11" t="s">
        <v>60</v>
      </c>
      <c r="I28" s="11" t="s">
        <v>100</v>
      </c>
      <c r="J28" s="11" t="str">
        <f>VLOOKUP(I28,[1]Sheet1!$C$2:$D$109,2,0)</f>
        <v>PC630</v>
      </c>
      <c r="K28" s="12">
        <v>87149990</v>
      </c>
      <c r="L28" s="19">
        <v>0.18</v>
      </c>
      <c r="M28" s="21"/>
      <c r="N28" s="16"/>
      <c r="O28" s="16"/>
      <c r="P28" s="16"/>
      <c r="Q28" s="15"/>
    </row>
    <row r="29" spans="2:17" ht="18" customHeight="1" x14ac:dyDescent="0.2">
      <c r="B29" s="7" t="s">
        <v>101</v>
      </c>
      <c r="C29" s="7">
        <v>85369090</v>
      </c>
      <c r="D29" s="8">
        <v>0.18</v>
      </c>
      <c r="F29" s="11" t="s">
        <v>102</v>
      </c>
      <c r="G29" s="11" t="s">
        <v>14</v>
      </c>
      <c r="H29" s="11" t="s">
        <v>40</v>
      </c>
      <c r="I29" s="11" t="s">
        <v>103</v>
      </c>
      <c r="J29" s="11" t="s">
        <v>104</v>
      </c>
      <c r="K29" s="12">
        <v>83014090</v>
      </c>
      <c r="L29" s="19">
        <v>0.18</v>
      </c>
      <c r="M29" s="21"/>
      <c r="N29" s="16"/>
      <c r="O29" s="16"/>
      <c r="P29" s="16"/>
      <c r="Q29" s="15"/>
    </row>
    <row r="30" spans="2:17" ht="18" customHeight="1" x14ac:dyDescent="0.2">
      <c r="B30" s="17" t="s">
        <v>105</v>
      </c>
      <c r="C30" s="17">
        <v>87149990</v>
      </c>
      <c r="D30" s="18">
        <v>0.18</v>
      </c>
      <c r="F30" s="11" t="s">
        <v>106</v>
      </c>
      <c r="G30" s="11" t="s">
        <v>14</v>
      </c>
      <c r="H30" s="11" t="s">
        <v>40</v>
      </c>
      <c r="I30" s="11" t="s">
        <v>107</v>
      </c>
      <c r="J30" s="11" t="str">
        <f>VLOOKUP(I30,[1]Sheet1!$C$2:$D$109,2,0)</f>
        <v>PC602</v>
      </c>
      <c r="K30" s="12">
        <v>83014090</v>
      </c>
      <c r="L30" s="19">
        <v>0.18</v>
      </c>
      <c r="M30" s="21"/>
      <c r="N30" s="16"/>
      <c r="O30" s="16"/>
      <c r="P30" s="16"/>
      <c r="Q30" s="15"/>
    </row>
    <row r="31" spans="2:17" ht="18" customHeight="1" x14ac:dyDescent="0.2">
      <c r="B31" s="7" t="s">
        <v>108</v>
      </c>
      <c r="C31" s="7">
        <v>85079090</v>
      </c>
      <c r="D31" s="8">
        <v>0.18</v>
      </c>
      <c r="F31" s="11" t="s">
        <v>109</v>
      </c>
      <c r="G31" s="11" t="s">
        <v>14</v>
      </c>
      <c r="H31" s="11" t="s">
        <v>40</v>
      </c>
      <c r="I31" s="11" t="s">
        <v>110</v>
      </c>
      <c r="J31" s="11" t="str">
        <f>VLOOKUP(I31,[1]Sheet1!$C$2:$D$109,2,0)</f>
        <v>PC590</v>
      </c>
      <c r="K31" s="12">
        <v>83014090</v>
      </c>
      <c r="L31" s="19">
        <v>0.18</v>
      </c>
      <c r="M31" s="21"/>
      <c r="N31" s="16"/>
      <c r="O31" s="16"/>
      <c r="P31" s="16"/>
      <c r="Q31" s="15"/>
    </row>
    <row r="32" spans="2:17" ht="18" customHeight="1" x14ac:dyDescent="0.2">
      <c r="B32" s="22" t="s">
        <v>111</v>
      </c>
      <c r="C32" s="7">
        <v>48191010</v>
      </c>
      <c r="D32" s="8">
        <v>0.18</v>
      </c>
      <c r="F32" s="11" t="s">
        <v>112</v>
      </c>
      <c r="G32" s="11" t="s">
        <v>14</v>
      </c>
      <c r="H32" s="11" t="s">
        <v>28</v>
      </c>
      <c r="I32" s="11" t="s">
        <v>113</v>
      </c>
      <c r="J32" s="11" t="s">
        <v>114</v>
      </c>
      <c r="K32" s="12">
        <v>65061090</v>
      </c>
      <c r="L32" s="19">
        <v>0.18</v>
      </c>
      <c r="M32" s="21"/>
      <c r="N32" s="16"/>
      <c r="O32" s="16"/>
      <c r="P32" s="16"/>
      <c r="Q32" s="15"/>
    </row>
    <row r="33" spans="2:17" ht="18" customHeight="1" x14ac:dyDescent="0.2">
      <c r="B33" s="22" t="s">
        <v>115</v>
      </c>
      <c r="C33" s="7">
        <v>85176290</v>
      </c>
      <c r="D33" s="8">
        <v>0.18</v>
      </c>
      <c r="F33" s="11" t="s">
        <v>116</v>
      </c>
      <c r="G33" s="11" t="s">
        <v>14</v>
      </c>
      <c r="H33" s="11" t="s">
        <v>28</v>
      </c>
      <c r="I33" s="11" t="s">
        <v>117</v>
      </c>
      <c r="J33" s="11" t="str">
        <f>VLOOKUP(I33,[1]Sheet1!$C$2:$D$109,2,0)</f>
        <v>PC328</v>
      </c>
      <c r="K33" s="12">
        <v>65061090</v>
      </c>
      <c r="L33" s="19">
        <v>0.18</v>
      </c>
      <c r="M33" s="21"/>
      <c r="N33" s="16"/>
      <c r="O33" s="16"/>
      <c r="P33" s="16"/>
      <c r="Q33" s="15"/>
    </row>
    <row r="34" spans="2:17" ht="18" customHeight="1" x14ac:dyDescent="0.2">
      <c r="B34" s="22" t="s">
        <v>118</v>
      </c>
      <c r="C34" s="7">
        <v>85078000</v>
      </c>
      <c r="D34" s="8">
        <v>0.18</v>
      </c>
      <c r="F34" s="11" t="s">
        <v>119</v>
      </c>
      <c r="G34" s="11" t="s">
        <v>14</v>
      </c>
      <c r="H34" s="11" t="s">
        <v>40</v>
      </c>
      <c r="I34" s="11" t="s">
        <v>120</v>
      </c>
      <c r="J34" s="11" t="str">
        <f>VLOOKUP(I34,[1]Sheet1!$C$2:$D$109,2,0)</f>
        <v>PC603</v>
      </c>
      <c r="K34" s="12">
        <v>83014090</v>
      </c>
      <c r="L34" s="19">
        <v>0.18</v>
      </c>
      <c r="M34" s="21"/>
      <c r="N34" s="16"/>
      <c r="O34" s="16"/>
      <c r="P34" s="16"/>
      <c r="Q34" s="15"/>
    </row>
    <row r="35" spans="2:17" ht="18" customHeight="1" x14ac:dyDescent="0.2">
      <c r="B35" s="22" t="s">
        <v>121</v>
      </c>
      <c r="C35" s="7">
        <v>85183000</v>
      </c>
      <c r="D35" s="8">
        <v>0.18</v>
      </c>
      <c r="F35" s="11" t="s">
        <v>122</v>
      </c>
      <c r="G35" s="11" t="s">
        <v>48</v>
      </c>
      <c r="H35" s="11" t="s">
        <v>49</v>
      </c>
      <c r="I35" s="11" t="s">
        <v>123</v>
      </c>
      <c r="J35" s="11" t="s">
        <v>124</v>
      </c>
      <c r="K35" s="12">
        <v>87116090</v>
      </c>
      <c r="L35" s="19">
        <v>0.05</v>
      </c>
      <c r="M35" s="21"/>
      <c r="N35" s="16"/>
      <c r="O35" s="16"/>
      <c r="P35" s="16"/>
      <c r="Q35" s="15"/>
    </row>
    <row r="36" spans="2:17" ht="18" customHeight="1" x14ac:dyDescent="0.2">
      <c r="B36" s="22" t="s">
        <v>125</v>
      </c>
      <c r="C36" s="7">
        <v>34039900</v>
      </c>
      <c r="D36" s="8">
        <v>0.18</v>
      </c>
      <c r="F36" s="11" t="s">
        <v>126</v>
      </c>
      <c r="G36" s="11" t="s">
        <v>48</v>
      </c>
      <c r="H36" s="11" t="s">
        <v>49</v>
      </c>
      <c r="I36" s="11" t="s">
        <v>127</v>
      </c>
      <c r="J36" s="11" t="s">
        <v>128</v>
      </c>
      <c r="K36" s="12">
        <v>87116090</v>
      </c>
      <c r="L36" s="19">
        <v>0.05</v>
      </c>
      <c r="M36" s="23"/>
      <c r="N36" s="16"/>
      <c r="O36" s="16"/>
      <c r="P36" s="16"/>
      <c r="Q36" s="15"/>
    </row>
    <row r="37" spans="2:17" ht="18" customHeight="1" x14ac:dyDescent="0.2">
      <c r="B37" s="22" t="s">
        <v>129</v>
      </c>
      <c r="C37" s="7">
        <v>47079000</v>
      </c>
      <c r="D37" s="8">
        <v>0.05</v>
      </c>
      <c r="F37" s="11" t="s">
        <v>130</v>
      </c>
      <c r="G37" s="11" t="s">
        <v>48</v>
      </c>
      <c r="H37" s="11" t="s">
        <v>49</v>
      </c>
      <c r="I37" s="11" t="s">
        <v>131</v>
      </c>
      <c r="J37" s="11" t="s">
        <v>132</v>
      </c>
      <c r="K37" s="12">
        <v>87116090</v>
      </c>
      <c r="L37" s="19">
        <v>0.05</v>
      </c>
      <c r="M37" s="21"/>
      <c r="N37" s="16"/>
      <c r="O37" s="16"/>
      <c r="P37" s="16"/>
      <c r="Q37" s="15"/>
    </row>
    <row r="38" spans="2:17" ht="18" customHeight="1" x14ac:dyDescent="0.2">
      <c r="B38" s="22" t="s">
        <v>133</v>
      </c>
      <c r="C38" s="7">
        <v>48191010</v>
      </c>
      <c r="D38" s="8">
        <v>0.18</v>
      </c>
      <c r="F38" s="11" t="s">
        <v>134</v>
      </c>
      <c r="G38" s="11" t="s">
        <v>135</v>
      </c>
      <c r="H38" s="11" t="s">
        <v>49</v>
      </c>
      <c r="I38" s="11" t="s">
        <v>136</v>
      </c>
      <c r="J38" s="11" t="str">
        <f>VLOOKUP(I38,[1]Sheet1!$C$2:$D$109,2,0)</f>
        <v>PC661</v>
      </c>
      <c r="K38" s="12">
        <v>87116090</v>
      </c>
      <c r="L38" s="19">
        <v>0.05</v>
      </c>
      <c r="M38" s="21"/>
      <c r="N38" s="16"/>
      <c r="O38" s="16"/>
      <c r="P38" s="16"/>
      <c r="Q38" s="15"/>
    </row>
    <row r="39" spans="2:17" ht="18" customHeight="1" x14ac:dyDescent="0.2">
      <c r="B39" s="22" t="s">
        <v>137</v>
      </c>
      <c r="C39" s="7">
        <v>72044900</v>
      </c>
      <c r="D39" s="8">
        <v>0.18</v>
      </c>
      <c r="F39" s="11" t="s">
        <v>138</v>
      </c>
      <c r="G39" s="11" t="s">
        <v>135</v>
      </c>
      <c r="H39" s="11" t="s">
        <v>49</v>
      </c>
      <c r="I39" s="11" t="s">
        <v>139</v>
      </c>
      <c r="J39" s="11" t="str">
        <f>VLOOKUP(I39,[1]Sheet1!$C$2:$D$109,2,0)</f>
        <v>PC225</v>
      </c>
      <c r="K39" s="12">
        <v>87116090</v>
      </c>
      <c r="L39" s="19">
        <v>0.05</v>
      </c>
      <c r="M39" s="14"/>
      <c r="N39" s="14"/>
      <c r="O39" s="16"/>
      <c r="P39" s="16"/>
      <c r="Q39" s="15"/>
    </row>
    <row r="40" spans="2:17" ht="18" customHeight="1" x14ac:dyDescent="0.2">
      <c r="B40" s="24" t="s">
        <v>140</v>
      </c>
      <c r="C40" s="7">
        <v>40115090</v>
      </c>
      <c r="D40" s="8">
        <v>0.05</v>
      </c>
      <c r="F40" s="11" t="s">
        <v>141</v>
      </c>
      <c r="G40" s="11" t="s">
        <v>135</v>
      </c>
      <c r="H40" s="11" t="s">
        <v>49</v>
      </c>
      <c r="I40" s="11" t="s">
        <v>142</v>
      </c>
      <c r="J40" s="11" t="str">
        <f>VLOOKUP(I40,[1]Sheet1!$C$2:$D$109,2,0)</f>
        <v>PC764</v>
      </c>
      <c r="K40" s="12">
        <v>87116090</v>
      </c>
      <c r="L40" s="19">
        <v>0.05</v>
      </c>
      <c r="M40" s="14"/>
      <c r="N40" s="14"/>
      <c r="O40" s="16"/>
      <c r="P40" s="16"/>
      <c r="Q40" s="15"/>
    </row>
    <row r="41" spans="2:17" ht="18" customHeight="1" x14ac:dyDescent="0.2">
      <c r="B41" s="24" t="s">
        <v>143</v>
      </c>
      <c r="C41" s="7">
        <v>40132000</v>
      </c>
      <c r="D41" s="8">
        <v>0.05</v>
      </c>
      <c r="F41" s="11" t="s">
        <v>144</v>
      </c>
      <c r="G41" s="11" t="s">
        <v>135</v>
      </c>
      <c r="H41" s="11" t="s">
        <v>49</v>
      </c>
      <c r="I41" s="11" t="s">
        <v>145</v>
      </c>
      <c r="J41" s="11" t="str">
        <f>VLOOKUP(I41,[1]Sheet1!$C$2:$D$109,2,0)</f>
        <v xml:space="preserve">PC763	</v>
      </c>
      <c r="K41" s="12">
        <v>87116090</v>
      </c>
      <c r="L41" s="19">
        <v>0.05</v>
      </c>
      <c r="M41" s="21"/>
      <c r="N41" s="16"/>
      <c r="O41" s="25"/>
      <c r="P41" s="25"/>
      <c r="Q41" s="25"/>
    </row>
    <row r="42" spans="2:17" ht="18" customHeight="1" x14ac:dyDescent="0.2">
      <c r="B42" s="7" t="s">
        <v>146</v>
      </c>
      <c r="C42" s="7">
        <v>87120010</v>
      </c>
      <c r="D42" s="8">
        <v>0.05</v>
      </c>
      <c r="F42" s="11" t="s">
        <v>147</v>
      </c>
      <c r="G42" s="11" t="s">
        <v>135</v>
      </c>
      <c r="H42" s="11" t="s">
        <v>49</v>
      </c>
      <c r="I42" s="11" t="s">
        <v>148</v>
      </c>
      <c r="J42" s="11" t="str">
        <f>VLOOKUP(I42,[1]Sheet1!$C$2:$D$109,2,0)</f>
        <v>PC762</v>
      </c>
      <c r="K42" s="12">
        <v>87116090</v>
      </c>
      <c r="L42" s="19">
        <v>0.05</v>
      </c>
      <c r="M42" s="21"/>
      <c r="N42" s="16"/>
      <c r="O42" s="25"/>
      <c r="P42" s="25"/>
      <c r="Q42" s="25"/>
    </row>
    <row r="43" spans="2:17" ht="18" customHeight="1" x14ac:dyDescent="0.2">
      <c r="F43" s="11" t="s">
        <v>149</v>
      </c>
      <c r="G43" s="11" t="s">
        <v>14</v>
      </c>
      <c r="H43" s="11" t="s">
        <v>60</v>
      </c>
      <c r="I43" s="11" t="s">
        <v>150</v>
      </c>
      <c r="J43" s="11" t="str">
        <f>VLOOKUP(I43,[1]Sheet1!$C$2:$D$109,2,0)</f>
        <v>PC368</v>
      </c>
      <c r="K43" s="12">
        <v>87149990</v>
      </c>
      <c r="L43" s="19">
        <v>0.18</v>
      </c>
      <c r="M43" s="21"/>
      <c r="N43" s="16"/>
      <c r="O43" s="25"/>
      <c r="P43" s="25"/>
      <c r="Q43" s="25"/>
    </row>
    <row r="44" spans="2:17" ht="18" customHeight="1" x14ac:dyDescent="0.2">
      <c r="F44" s="11" t="s">
        <v>151</v>
      </c>
      <c r="G44" s="11" t="s">
        <v>14</v>
      </c>
      <c r="H44" s="11" t="s">
        <v>60</v>
      </c>
      <c r="I44" s="11" t="s">
        <v>152</v>
      </c>
      <c r="J44" s="11" t="str">
        <f>VLOOKUP(I44,[1]Sheet1!$C$2:$D$109,2,0)</f>
        <v>PC629</v>
      </c>
      <c r="K44" s="12">
        <v>87149990</v>
      </c>
      <c r="L44" s="19">
        <v>0.18</v>
      </c>
      <c r="M44" s="21"/>
      <c r="N44" s="16"/>
      <c r="O44" s="25"/>
      <c r="P44" s="25"/>
      <c r="Q44" s="25"/>
    </row>
    <row r="45" spans="2:17" ht="18" customHeight="1" x14ac:dyDescent="0.2">
      <c r="C45" s="26"/>
      <c r="F45" s="11" t="s">
        <v>153</v>
      </c>
      <c r="G45" s="11" t="s">
        <v>14</v>
      </c>
      <c r="H45" s="11" t="s">
        <v>15</v>
      </c>
      <c r="I45" s="11" t="s">
        <v>154</v>
      </c>
      <c r="J45" s="11" t="str">
        <f>VLOOKUP(I45,[1]Sheet1!$C$2:$D$109,2,0)</f>
        <v>PC628</v>
      </c>
      <c r="K45" s="12">
        <v>84142010</v>
      </c>
      <c r="L45" s="13">
        <v>0.18</v>
      </c>
      <c r="M45" s="21"/>
      <c r="N45" s="16"/>
      <c r="O45" s="25"/>
      <c r="P45" s="25"/>
      <c r="Q45" s="25"/>
    </row>
    <row r="46" spans="2:17" ht="18" customHeight="1" x14ac:dyDescent="0.2">
      <c r="F46" s="11" t="s">
        <v>155</v>
      </c>
      <c r="G46" s="11" t="s">
        <v>48</v>
      </c>
      <c r="H46" s="11" t="s">
        <v>49</v>
      </c>
      <c r="I46" s="11" t="s">
        <v>56</v>
      </c>
      <c r="J46" s="11" t="str">
        <f>VLOOKUP(I46,[1]Sheet1!$C$2:$D$109,2,0)</f>
        <v>PC673</v>
      </c>
      <c r="K46" s="12">
        <v>87116090</v>
      </c>
      <c r="L46" s="19">
        <v>0.05</v>
      </c>
      <c r="M46" s="21"/>
      <c r="N46" s="16"/>
      <c r="O46" s="25"/>
      <c r="P46" s="25"/>
      <c r="Q46" s="25"/>
    </row>
    <row r="47" spans="2:17" ht="18" customHeight="1" x14ac:dyDescent="0.2">
      <c r="F47" s="11" t="s">
        <v>156</v>
      </c>
      <c r="G47" s="11" t="s">
        <v>48</v>
      </c>
      <c r="H47" s="11" t="s">
        <v>49</v>
      </c>
      <c r="I47" s="11" t="s">
        <v>50</v>
      </c>
      <c r="J47" s="11" t="str">
        <f>VLOOKUP(I47,[1]Sheet1!$C$2:$D$109,2,0)</f>
        <v>PC547</v>
      </c>
      <c r="K47" s="12">
        <v>87116090</v>
      </c>
      <c r="L47" s="19">
        <v>0.05</v>
      </c>
      <c r="M47" s="21"/>
      <c r="N47" s="16"/>
      <c r="O47" s="25"/>
      <c r="P47" s="25"/>
      <c r="Q47" s="25"/>
    </row>
    <row r="48" spans="2:17" ht="18" customHeight="1" x14ac:dyDescent="0.2">
      <c r="F48" s="11" t="s">
        <v>157</v>
      </c>
      <c r="G48" s="11" t="s">
        <v>158</v>
      </c>
      <c r="H48" s="11" t="s">
        <v>40</v>
      </c>
      <c r="I48" s="11" t="s">
        <v>159</v>
      </c>
      <c r="J48" s="11" t="str">
        <f>VLOOKUP(I48,[1]Sheet1!$C$2:$D$109,2,0)</f>
        <v>PC668</v>
      </c>
      <c r="K48" s="12">
        <v>83014090</v>
      </c>
      <c r="L48" s="19">
        <v>0.18</v>
      </c>
      <c r="M48" s="21"/>
      <c r="N48" s="16"/>
      <c r="O48" s="25"/>
      <c r="P48" s="25"/>
      <c r="Q48" s="25"/>
    </row>
    <row r="49" spans="6:17" ht="18" customHeight="1" x14ac:dyDescent="0.2">
      <c r="F49" s="11" t="s">
        <v>160</v>
      </c>
      <c r="G49" s="11" t="s">
        <v>14</v>
      </c>
      <c r="H49" s="11" t="s">
        <v>161</v>
      </c>
      <c r="I49" s="11" t="s">
        <v>162</v>
      </c>
      <c r="J49" s="11" t="str">
        <f>VLOOKUP(I49,[1]Sheet1!$C$2:$D$109,2,0)</f>
        <v>PC208</v>
      </c>
      <c r="K49" s="12">
        <v>87149990</v>
      </c>
      <c r="L49" s="19">
        <v>0.18</v>
      </c>
      <c r="M49" s="21"/>
      <c r="N49" s="16"/>
      <c r="O49" s="25"/>
      <c r="P49" s="25"/>
      <c r="Q49" s="25"/>
    </row>
    <row r="50" spans="6:17" ht="18" customHeight="1" x14ac:dyDescent="0.2">
      <c r="F50" s="11" t="s">
        <v>163</v>
      </c>
      <c r="G50" s="11" t="s">
        <v>164</v>
      </c>
      <c r="H50" s="11" t="s">
        <v>49</v>
      </c>
      <c r="I50" s="11" t="s">
        <v>165</v>
      </c>
      <c r="J50" s="11" t="str">
        <f>VLOOKUP(I50,[1]Sheet1!$C$2:$D$109,2,0)</f>
        <v>PC694</v>
      </c>
      <c r="K50" s="12">
        <v>87116090</v>
      </c>
      <c r="L50" s="19">
        <v>0.05</v>
      </c>
      <c r="M50" s="21"/>
      <c r="N50" s="16"/>
      <c r="O50" s="25"/>
      <c r="P50" s="25"/>
      <c r="Q50" s="25"/>
    </row>
    <row r="51" spans="6:17" ht="18" customHeight="1" x14ac:dyDescent="0.2">
      <c r="F51" s="11" t="s">
        <v>166</v>
      </c>
      <c r="G51" s="11" t="s">
        <v>164</v>
      </c>
      <c r="H51" s="11" t="s">
        <v>49</v>
      </c>
      <c r="I51" s="11" t="s">
        <v>167</v>
      </c>
      <c r="J51" s="11" t="str">
        <f>VLOOKUP(I51,[1]Sheet1!$C$2:$D$109,2,0)</f>
        <v>PC693</v>
      </c>
      <c r="K51" s="12">
        <v>87116090</v>
      </c>
      <c r="L51" s="19">
        <v>0.05</v>
      </c>
      <c r="M51" s="21"/>
      <c r="N51" s="16"/>
      <c r="O51" s="25"/>
      <c r="P51" s="25"/>
      <c r="Q51" s="25"/>
    </row>
    <row r="52" spans="6:17" ht="18" customHeight="1" x14ac:dyDescent="0.2">
      <c r="F52" s="11" t="s">
        <v>168</v>
      </c>
      <c r="G52" s="11" t="s">
        <v>48</v>
      </c>
      <c r="H52" s="11" t="s">
        <v>49</v>
      </c>
      <c r="I52" s="11" t="s">
        <v>169</v>
      </c>
      <c r="J52" s="11" t="s">
        <v>170</v>
      </c>
      <c r="K52" s="12">
        <v>87116090</v>
      </c>
      <c r="L52" s="19">
        <v>0.05</v>
      </c>
      <c r="M52" s="21"/>
      <c r="N52" s="16"/>
      <c r="O52" s="25"/>
      <c r="P52" s="25"/>
      <c r="Q52" s="25"/>
    </row>
    <row r="53" spans="6:17" ht="18" customHeight="1" x14ac:dyDescent="0.2">
      <c r="F53" s="11" t="s">
        <v>171</v>
      </c>
      <c r="G53" s="11" t="s">
        <v>48</v>
      </c>
      <c r="H53" s="11" t="s">
        <v>49</v>
      </c>
      <c r="I53" s="11" t="s">
        <v>172</v>
      </c>
      <c r="J53" s="11" t="s">
        <v>173</v>
      </c>
      <c r="K53" s="12">
        <v>87116090</v>
      </c>
      <c r="L53" s="19">
        <v>0.05</v>
      </c>
      <c r="M53" s="21"/>
      <c r="N53" s="16"/>
      <c r="O53" s="25"/>
      <c r="P53" s="25"/>
      <c r="Q53" s="25"/>
    </row>
    <row r="54" spans="6:17" ht="18" customHeight="1" x14ac:dyDescent="0.2">
      <c r="F54" s="11" t="s">
        <v>174</v>
      </c>
      <c r="G54" s="11" t="s">
        <v>48</v>
      </c>
      <c r="H54" s="11" t="s">
        <v>49</v>
      </c>
      <c r="I54" s="11" t="s">
        <v>172</v>
      </c>
      <c r="J54" s="11" t="s">
        <v>173</v>
      </c>
      <c r="K54" s="12">
        <v>87116090</v>
      </c>
      <c r="L54" s="19">
        <v>0.05</v>
      </c>
      <c r="M54" s="21"/>
      <c r="N54" s="16"/>
      <c r="O54" s="25"/>
      <c r="P54" s="25"/>
      <c r="Q54" s="25"/>
    </row>
    <row r="55" spans="6:17" ht="18" customHeight="1" x14ac:dyDescent="0.2">
      <c r="F55" s="11" t="s">
        <v>175</v>
      </c>
      <c r="G55" s="11" t="s">
        <v>48</v>
      </c>
      <c r="H55" s="11" t="s">
        <v>49</v>
      </c>
      <c r="I55" s="11" t="s">
        <v>172</v>
      </c>
      <c r="J55" s="11" t="s">
        <v>173</v>
      </c>
      <c r="K55" s="12">
        <v>87116090</v>
      </c>
      <c r="L55" s="19">
        <v>0.05</v>
      </c>
      <c r="M55" s="14"/>
      <c r="N55" s="14"/>
      <c r="O55" s="25"/>
      <c r="P55" s="25"/>
      <c r="Q55" s="25"/>
    </row>
    <row r="56" spans="6:17" ht="18" customHeight="1" x14ac:dyDescent="0.2">
      <c r="F56" s="11" t="s">
        <v>176</v>
      </c>
      <c r="G56" s="11" t="s">
        <v>48</v>
      </c>
      <c r="H56" s="11" t="s">
        <v>49</v>
      </c>
      <c r="I56" s="11" t="s">
        <v>172</v>
      </c>
      <c r="J56" s="11" t="s">
        <v>173</v>
      </c>
      <c r="K56" s="12">
        <v>87116090</v>
      </c>
      <c r="L56" s="19">
        <v>0.05</v>
      </c>
      <c r="M56" s="21"/>
      <c r="N56" s="16"/>
      <c r="O56" s="25"/>
      <c r="P56" s="25"/>
      <c r="Q56" s="25"/>
    </row>
    <row r="57" spans="6:17" ht="18" customHeight="1" x14ac:dyDescent="0.2">
      <c r="F57" s="11" t="s">
        <v>177</v>
      </c>
      <c r="G57" s="11" t="s">
        <v>48</v>
      </c>
      <c r="H57" s="11" t="s">
        <v>49</v>
      </c>
      <c r="I57" s="11" t="s">
        <v>172</v>
      </c>
      <c r="J57" s="11" t="s">
        <v>173</v>
      </c>
      <c r="K57" s="12">
        <v>87116090</v>
      </c>
      <c r="L57" s="19">
        <v>0.05</v>
      </c>
      <c r="M57" s="21"/>
      <c r="N57" s="16"/>
      <c r="O57" s="25"/>
      <c r="P57" s="25"/>
      <c r="Q57" s="25"/>
    </row>
    <row r="58" spans="6:17" ht="18" customHeight="1" x14ac:dyDescent="0.2">
      <c r="F58" s="11" t="s">
        <v>178</v>
      </c>
      <c r="G58" s="11" t="s">
        <v>48</v>
      </c>
      <c r="H58" s="11" t="s">
        <v>49</v>
      </c>
      <c r="I58" s="11" t="s">
        <v>179</v>
      </c>
      <c r="J58" s="11" t="s">
        <v>180</v>
      </c>
      <c r="K58" s="12">
        <v>87116090</v>
      </c>
      <c r="L58" s="19">
        <v>0.05</v>
      </c>
      <c r="M58" s="21"/>
      <c r="N58" s="16"/>
      <c r="O58" s="25"/>
      <c r="P58" s="25"/>
      <c r="Q58" s="25"/>
    </row>
    <row r="59" spans="6:17" ht="18" customHeight="1" x14ac:dyDescent="0.2">
      <c r="F59" s="11" t="s">
        <v>181</v>
      </c>
      <c r="G59" s="11" t="s">
        <v>48</v>
      </c>
      <c r="H59" s="11" t="s">
        <v>49</v>
      </c>
      <c r="I59" s="11" t="s">
        <v>182</v>
      </c>
      <c r="J59" s="11" t="s">
        <v>183</v>
      </c>
      <c r="K59" s="12">
        <v>87116090</v>
      </c>
      <c r="L59" s="19">
        <v>0.05</v>
      </c>
      <c r="M59" s="21"/>
      <c r="N59" s="16"/>
      <c r="O59" s="25"/>
      <c r="P59" s="25"/>
      <c r="Q59" s="25"/>
    </row>
    <row r="60" spans="6:17" ht="18" customHeight="1" x14ac:dyDescent="0.2">
      <c r="F60" s="11" t="s">
        <v>184</v>
      </c>
      <c r="G60" s="11" t="s">
        <v>48</v>
      </c>
      <c r="H60" s="11" t="s">
        <v>49</v>
      </c>
      <c r="I60" s="11" t="s">
        <v>185</v>
      </c>
      <c r="J60" s="11" t="s">
        <v>186</v>
      </c>
      <c r="K60" s="12">
        <v>87116090</v>
      </c>
      <c r="L60" s="19">
        <v>0.05</v>
      </c>
      <c r="M60" s="21"/>
      <c r="N60" s="16"/>
      <c r="O60" s="25"/>
      <c r="P60" s="25"/>
      <c r="Q60" s="25"/>
    </row>
    <row r="61" spans="6:17" ht="18" customHeight="1" x14ac:dyDescent="0.2">
      <c r="F61" s="11" t="s">
        <v>187</v>
      </c>
      <c r="G61" s="11" t="s">
        <v>48</v>
      </c>
      <c r="H61" s="11" t="s">
        <v>49</v>
      </c>
      <c r="I61" s="11" t="s">
        <v>188</v>
      </c>
      <c r="J61" s="11" t="s">
        <v>189</v>
      </c>
      <c r="K61" s="12">
        <v>87116090</v>
      </c>
      <c r="L61" s="19">
        <v>0.05</v>
      </c>
      <c r="M61" s="21"/>
      <c r="N61" s="16"/>
      <c r="O61" s="25"/>
      <c r="P61" s="25"/>
      <c r="Q61" s="25"/>
    </row>
    <row r="62" spans="6:17" ht="18" customHeight="1" x14ac:dyDescent="0.2">
      <c r="F62" s="11" t="s">
        <v>190</v>
      </c>
      <c r="G62" s="11" t="s">
        <v>48</v>
      </c>
      <c r="H62" s="11" t="s">
        <v>49</v>
      </c>
      <c r="I62" s="11" t="s">
        <v>169</v>
      </c>
      <c r="J62" s="11" t="s">
        <v>170</v>
      </c>
      <c r="K62" s="12">
        <v>87116090</v>
      </c>
      <c r="L62" s="19">
        <v>0.05</v>
      </c>
      <c r="M62" s="21"/>
      <c r="N62" s="16"/>
      <c r="O62" s="25"/>
      <c r="P62" s="25"/>
      <c r="Q62" s="25"/>
    </row>
    <row r="63" spans="6:17" ht="18" customHeight="1" x14ac:dyDescent="0.2">
      <c r="F63" s="11" t="s">
        <v>191</v>
      </c>
      <c r="G63" s="11" t="s">
        <v>48</v>
      </c>
      <c r="H63" s="11" t="s">
        <v>49</v>
      </c>
      <c r="I63" s="11" t="s">
        <v>169</v>
      </c>
      <c r="J63" s="11" t="s">
        <v>170</v>
      </c>
      <c r="K63" s="12">
        <v>87116090</v>
      </c>
      <c r="L63" s="19">
        <v>0.05</v>
      </c>
      <c r="M63" s="21"/>
      <c r="N63" s="16"/>
      <c r="O63" s="25"/>
      <c r="P63" s="25"/>
      <c r="Q63" s="25"/>
    </row>
    <row r="64" spans="6:17" ht="18" customHeight="1" x14ac:dyDescent="0.2">
      <c r="F64" s="11" t="s">
        <v>192</v>
      </c>
      <c r="G64" s="11" t="s">
        <v>48</v>
      </c>
      <c r="H64" s="11" t="s">
        <v>49</v>
      </c>
      <c r="I64" s="11" t="s">
        <v>193</v>
      </c>
      <c r="J64" s="11" t="s">
        <v>194</v>
      </c>
      <c r="K64" s="12">
        <v>87116090</v>
      </c>
      <c r="L64" s="19">
        <v>0.05</v>
      </c>
      <c r="M64" s="21"/>
      <c r="N64" s="16"/>
      <c r="O64" s="25"/>
      <c r="P64" s="25"/>
      <c r="Q64" s="25"/>
    </row>
    <row r="65" spans="6:17" ht="18" customHeight="1" x14ac:dyDescent="0.2">
      <c r="F65" s="11" t="s">
        <v>195</v>
      </c>
      <c r="G65" s="11" t="s">
        <v>48</v>
      </c>
      <c r="H65" s="11" t="s">
        <v>49</v>
      </c>
      <c r="I65" s="11" t="s">
        <v>196</v>
      </c>
      <c r="J65" s="11" t="s">
        <v>197</v>
      </c>
      <c r="K65" s="12">
        <v>87116090</v>
      </c>
      <c r="L65" s="19">
        <v>0.05</v>
      </c>
      <c r="M65" s="21"/>
      <c r="N65" s="16"/>
      <c r="O65" s="25"/>
      <c r="P65" s="25"/>
      <c r="Q65" s="25"/>
    </row>
    <row r="66" spans="6:17" ht="18" customHeight="1" x14ac:dyDescent="0.2">
      <c r="F66" s="11" t="s">
        <v>198</v>
      </c>
      <c r="G66" s="11" t="s">
        <v>48</v>
      </c>
      <c r="H66" s="11" t="s">
        <v>49</v>
      </c>
      <c r="I66" s="11" t="s">
        <v>199</v>
      </c>
      <c r="J66" s="11" t="s">
        <v>200</v>
      </c>
      <c r="K66" s="12">
        <v>87116090</v>
      </c>
      <c r="L66" s="19">
        <v>0.05</v>
      </c>
      <c r="M66" s="21"/>
      <c r="N66" s="16"/>
      <c r="O66" s="25"/>
      <c r="P66" s="25"/>
      <c r="Q66" s="25"/>
    </row>
    <row r="67" spans="6:17" ht="18" customHeight="1" x14ac:dyDescent="0.2">
      <c r="F67" s="11" t="s">
        <v>201</v>
      </c>
      <c r="G67" s="11" t="s">
        <v>48</v>
      </c>
      <c r="H67" s="11" t="s">
        <v>49</v>
      </c>
      <c r="I67" s="11" t="s">
        <v>202</v>
      </c>
      <c r="J67" s="11" t="str">
        <f>VLOOKUP(I67,[1]Sheet1!$C$2:$D$109,2,0)</f>
        <v>PC578</v>
      </c>
      <c r="K67" s="12">
        <v>87116090</v>
      </c>
      <c r="L67" s="19">
        <v>0.05</v>
      </c>
      <c r="M67" s="21"/>
      <c r="N67" s="16"/>
      <c r="O67" s="25"/>
      <c r="P67" s="25"/>
      <c r="Q67" s="25"/>
    </row>
    <row r="68" spans="6:17" ht="18" customHeight="1" x14ac:dyDescent="0.2">
      <c r="F68" s="11" t="s">
        <v>203</v>
      </c>
      <c r="G68" s="11" t="s">
        <v>164</v>
      </c>
      <c r="H68" s="11" t="s">
        <v>49</v>
      </c>
      <c r="I68" s="11" t="s">
        <v>204</v>
      </c>
      <c r="J68" s="11" t="s">
        <v>205</v>
      </c>
      <c r="K68" s="12">
        <v>87116090</v>
      </c>
      <c r="L68" s="19">
        <v>0.05</v>
      </c>
      <c r="M68" s="21"/>
      <c r="N68" s="16"/>
      <c r="O68" s="25"/>
      <c r="P68" s="25"/>
      <c r="Q68" s="25"/>
    </row>
    <row r="69" spans="6:17" ht="18" customHeight="1" x14ac:dyDescent="0.2">
      <c r="F69" s="11" t="s">
        <v>206</v>
      </c>
      <c r="G69" s="11" t="s">
        <v>164</v>
      </c>
      <c r="H69" s="11" t="s">
        <v>49</v>
      </c>
      <c r="I69" s="11" t="s">
        <v>207</v>
      </c>
      <c r="J69" s="11" t="s">
        <v>208</v>
      </c>
      <c r="K69" s="12">
        <v>87116090</v>
      </c>
      <c r="L69" s="19">
        <v>0.05</v>
      </c>
      <c r="M69" s="21"/>
      <c r="N69" s="16"/>
      <c r="O69" s="25"/>
      <c r="P69" s="25"/>
      <c r="Q69" s="25"/>
    </row>
    <row r="70" spans="6:17" ht="18" customHeight="1" x14ac:dyDescent="0.2">
      <c r="F70" s="11" t="s">
        <v>209</v>
      </c>
      <c r="G70" s="11" t="s">
        <v>164</v>
      </c>
      <c r="H70" s="11" t="s">
        <v>49</v>
      </c>
      <c r="I70" s="11" t="s">
        <v>207</v>
      </c>
      <c r="J70" s="11" t="s">
        <v>208</v>
      </c>
      <c r="K70" s="12">
        <v>87116090</v>
      </c>
      <c r="L70" s="19">
        <v>0.05</v>
      </c>
    </row>
    <row r="71" spans="6:17" ht="18" customHeight="1" x14ac:dyDescent="0.2">
      <c r="F71" s="11" t="s">
        <v>210</v>
      </c>
      <c r="G71" s="11" t="s">
        <v>164</v>
      </c>
      <c r="H71" s="11" t="s">
        <v>49</v>
      </c>
      <c r="I71" s="11" t="s">
        <v>211</v>
      </c>
      <c r="J71" s="11" t="s">
        <v>212</v>
      </c>
      <c r="K71" s="12">
        <v>87116090</v>
      </c>
      <c r="L71" s="19">
        <v>0.05</v>
      </c>
    </row>
    <row r="72" spans="6:17" ht="18" customHeight="1" x14ac:dyDescent="0.2">
      <c r="F72" s="11" t="s">
        <v>213</v>
      </c>
      <c r="G72" s="11" t="s">
        <v>164</v>
      </c>
      <c r="H72" s="11" t="s">
        <v>49</v>
      </c>
      <c r="I72" s="11" t="s">
        <v>207</v>
      </c>
      <c r="J72" s="11" t="s">
        <v>208</v>
      </c>
      <c r="K72" s="12">
        <v>87116090</v>
      </c>
      <c r="L72" s="19">
        <v>0.05</v>
      </c>
    </row>
    <row r="73" spans="6:17" ht="18" customHeight="1" x14ac:dyDescent="0.2">
      <c r="F73" s="11" t="s">
        <v>214</v>
      </c>
      <c r="G73" s="11" t="s">
        <v>164</v>
      </c>
      <c r="H73" s="11" t="s">
        <v>49</v>
      </c>
      <c r="I73" s="11" t="s">
        <v>215</v>
      </c>
      <c r="J73" s="11" t="s">
        <v>216</v>
      </c>
      <c r="K73" s="12">
        <v>87116090</v>
      </c>
      <c r="L73" s="19">
        <v>0.05</v>
      </c>
    </row>
    <row r="74" spans="6:17" ht="18" customHeight="1" x14ac:dyDescent="0.2">
      <c r="F74" s="11" t="s">
        <v>217</v>
      </c>
      <c r="G74" s="11" t="s">
        <v>164</v>
      </c>
      <c r="H74" s="11" t="s">
        <v>49</v>
      </c>
      <c r="I74" s="11" t="s">
        <v>218</v>
      </c>
      <c r="J74" s="11" t="s">
        <v>219</v>
      </c>
      <c r="K74" s="12">
        <v>87116090</v>
      </c>
      <c r="L74" s="19">
        <v>0.05</v>
      </c>
    </row>
    <row r="75" spans="6:17" ht="18" customHeight="1" x14ac:dyDescent="0.2">
      <c r="F75" s="11" t="s">
        <v>220</v>
      </c>
      <c r="G75" s="11" t="s">
        <v>164</v>
      </c>
      <c r="H75" s="11" t="s">
        <v>49</v>
      </c>
      <c r="I75" s="11" t="s">
        <v>221</v>
      </c>
      <c r="J75" s="11" t="s">
        <v>222</v>
      </c>
      <c r="K75" s="12">
        <v>87116090</v>
      </c>
      <c r="L75" s="19">
        <v>0.05</v>
      </c>
    </row>
    <row r="76" spans="6:17" ht="18" customHeight="1" x14ac:dyDescent="0.2">
      <c r="F76" s="11" t="s">
        <v>223</v>
      </c>
      <c r="G76" s="11" t="s">
        <v>164</v>
      </c>
      <c r="H76" s="11" t="s">
        <v>49</v>
      </c>
      <c r="I76" s="11" t="s">
        <v>221</v>
      </c>
      <c r="J76" s="11" t="s">
        <v>222</v>
      </c>
      <c r="K76" s="12">
        <v>87116090</v>
      </c>
      <c r="L76" s="19">
        <v>0.05</v>
      </c>
    </row>
    <row r="77" spans="6:17" ht="18" customHeight="1" x14ac:dyDescent="0.2">
      <c r="F77" s="11" t="s">
        <v>224</v>
      </c>
      <c r="G77" s="11" t="s">
        <v>164</v>
      </c>
      <c r="H77" s="11" t="s">
        <v>49</v>
      </c>
      <c r="I77" s="11" t="s">
        <v>221</v>
      </c>
      <c r="J77" s="11" t="s">
        <v>222</v>
      </c>
      <c r="K77" s="12">
        <v>87116090</v>
      </c>
      <c r="L77" s="19">
        <v>0.05</v>
      </c>
    </row>
    <row r="78" spans="6:17" ht="18" customHeight="1" x14ac:dyDescent="0.2">
      <c r="F78" s="11" t="s">
        <v>225</v>
      </c>
      <c r="G78" s="11" t="s">
        <v>164</v>
      </c>
      <c r="H78" s="11" t="s">
        <v>49</v>
      </c>
      <c r="I78" s="11" t="s">
        <v>221</v>
      </c>
      <c r="J78" s="11" t="s">
        <v>222</v>
      </c>
      <c r="K78" s="12">
        <v>87116090</v>
      </c>
      <c r="L78" s="19">
        <v>0.05</v>
      </c>
    </row>
    <row r="79" spans="6:17" ht="18" customHeight="1" x14ac:dyDescent="0.2">
      <c r="F79" s="11" t="s">
        <v>226</v>
      </c>
      <c r="G79" s="11" t="s">
        <v>14</v>
      </c>
      <c r="H79" s="11" t="s">
        <v>28</v>
      </c>
      <c r="I79" s="11" t="s">
        <v>227</v>
      </c>
      <c r="J79" s="11"/>
      <c r="K79" s="12">
        <v>65061090</v>
      </c>
      <c r="L79" s="19">
        <v>0.18</v>
      </c>
    </row>
    <row r="80" spans="6:17" ht="18" customHeight="1" x14ac:dyDescent="0.2">
      <c r="F80" s="11" t="s">
        <v>228</v>
      </c>
      <c r="G80" s="11" t="s">
        <v>14</v>
      </c>
      <c r="H80" s="11" t="s">
        <v>28</v>
      </c>
      <c r="I80" s="11" t="s">
        <v>229</v>
      </c>
      <c r="J80" s="11" t="s">
        <v>230</v>
      </c>
      <c r="K80" s="12">
        <v>65061090</v>
      </c>
      <c r="L80" s="19">
        <v>0.18</v>
      </c>
    </row>
    <row r="81" spans="6:12" ht="18" customHeight="1" x14ac:dyDescent="0.2">
      <c r="F81" s="11" t="s">
        <v>231</v>
      </c>
      <c r="G81" s="11" t="s">
        <v>232</v>
      </c>
      <c r="H81" s="11" t="s">
        <v>15</v>
      </c>
      <c r="I81" s="11" t="s">
        <v>233</v>
      </c>
      <c r="J81" s="11" t="str">
        <f>VLOOKUP(I81,[1]Sheet1!$C$2:$D$109,2,0)</f>
        <v>PC620</v>
      </c>
      <c r="K81" s="27">
        <v>84142010</v>
      </c>
      <c r="L81" s="13">
        <v>0.18</v>
      </c>
    </row>
    <row r="82" spans="6:12" ht="18" customHeight="1" x14ac:dyDescent="0.2">
      <c r="F82" s="11" t="s">
        <v>234</v>
      </c>
      <c r="G82" s="11" t="s">
        <v>232</v>
      </c>
      <c r="H82" s="11" t="s">
        <v>15</v>
      </c>
      <c r="I82" s="11" t="s">
        <v>235</v>
      </c>
      <c r="J82" s="11" t="str">
        <f>VLOOKUP(I82,[1]Sheet1!$C$2:$D$109,2,0)</f>
        <v>PC621</v>
      </c>
      <c r="K82" s="27">
        <v>84142010</v>
      </c>
      <c r="L82" s="13">
        <v>0.18</v>
      </c>
    </row>
    <row r="83" spans="6:12" ht="18" customHeight="1" x14ac:dyDescent="0.2">
      <c r="F83" s="11" t="s">
        <v>236</v>
      </c>
      <c r="G83" s="11" t="s">
        <v>232</v>
      </c>
      <c r="H83" s="11" t="s">
        <v>15</v>
      </c>
      <c r="I83" s="11" t="s">
        <v>237</v>
      </c>
      <c r="J83" s="11" t="str">
        <f>VLOOKUP(I83,[1]Sheet1!$C$2:$D$109,2,0)</f>
        <v>PC618</v>
      </c>
      <c r="K83" s="27">
        <v>84142010</v>
      </c>
      <c r="L83" s="13">
        <v>0.18</v>
      </c>
    </row>
    <row r="84" spans="6:12" ht="18" customHeight="1" x14ac:dyDescent="0.2">
      <c r="F84" s="11" t="s">
        <v>238</v>
      </c>
      <c r="G84" s="11" t="s">
        <v>232</v>
      </c>
      <c r="H84" s="11" t="s">
        <v>15</v>
      </c>
      <c r="I84" s="11" t="s">
        <v>239</v>
      </c>
      <c r="J84" s="11" t="str">
        <f>VLOOKUP(I84,[1]Sheet1!$C$2:$D$109,2,0)</f>
        <v>PC619</v>
      </c>
      <c r="K84" s="27">
        <v>84142010</v>
      </c>
      <c r="L84" s="13">
        <v>0.18</v>
      </c>
    </row>
    <row r="85" spans="6:12" ht="18" customHeight="1" x14ac:dyDescent="0.2">
      <c r="F85" s="11" t="s">
        <v>240</v>
      </c>
      <c r="G85" s="11" t="s">
        <v>232</v>
      </c>
      <c r="H85" s="11" t="s">
        <v>40</v>
      </c>
      <c r="I85" s="11" t="s">
        <v>241</v>
      </c>
      <c r="J85" s="11" t="str">
        <f>VLOOKUP(I85,[1]Sheet1!$C$2:$D$109,2,0)</f>
        <v>PC341</v>
      </c>
      <c r="K85" s="12">
        <v>83014090</v>
      </c>
      <c r="L85" s="19">
        <v>0.18</v>
      </c>
    </row>
    <row r="86" spans="6:12" ht="18" customHeight="1" x14ac:dyDescent="0.2">
      <c r="F86" s="11" t="s">
        <v>242</v>
      </c>
      <c r="G86" s="11" t="s">
        <v>232</v>
      </c>
      <c r="H86" s="11" t="s">
        <v>243</v>
      </c>
      <c r="I86" s="11" t="s">
        <v>243</v>
      </c>
      <c r="J86" s="11" t="str">
        <f>VLOOKUP(I86,[1]Sheet1!$C$2:$D$109,2,0)</f>
        <v>PC615</v>
      </c>
      <c r="K86" s="12">
        <v>87149990</v>
      </c>
      <c r="L86" s="19">
        <v>0.18</v>
      </c>
    </row>
    <row r="87" spans="6:12" ht="18" customHeight="1" x14ac:dyDescent="0.2">
      <c r="F87" s="11" t="s">
        <v>244</v>
      </c>
      <c r="G87" s="11" t="s">
        <v>232</v>
      </c>
      <c r="H87" s="11" t="s">
        <v>28</v>
      </c>
      <c r="I87" s="11" t="s">
        <v>245</v>
      </c>
      <c r="J87" s="11" t="str">
        <f>VLOOKUP(I87,[1]Sheet1!$C$2:$D$109,2,0)</f>
        <v>PC672</v>
      </c>
      <c r="K87" s="12">
        <v>65061090</v>
      </c>
      <c r="L87" s="19">
        <v>0.18</v>
      </c>
    </row>
    <row r="88" spans="6:12" ht="18" customHeight="1" x14ac:dyDescent="0.2">
      <c r="F88" s="11" t="s">
        <v>246</v>
      </c>
      <c r="G88" s="11" t="s">
        <v>232</v>
      </c>
      <c r="H88" s="11" t="s">
        <v>28</v>
      </c>
      <c r="I88" s="11" t="s">
        <v>245</v>
      </c>
      <c r="J88" s="11" t="str">
        <f>VLOOKUP(I88,[1]Sheet1!$C$2:$D$109,2,0)</f>
        <v>PC672</v>
      </c>
      <c r="K88" s="12">
        <v>65061090</v>
      </c>
      <c r="L88" s="19">
        <v>0.18</v>
      </c>
    </row>
    <row r="89" spans="6:12" ht="18" customHeight="1" x14ac:dyDescent="0.2">
      <c r="F89" s="11" t="s">
        <v>247</v>
      </c>
      <c r="G89" s="11" t="s">
        <v>232</v>
      </c>
      <c r="H89" s="11" t="s">
        <v>28</v>
      </c>
      <c r="I89" s="11" t="s">
        <v>245</v>
      </c>
      <c r="J89" s="11" t="str">
        <f>VLOOKUP(I89,[1]Sheet1!$C$2:$D$109,2,0)</f>
        <v>PC672</v>
      </c>
      <c r="K89" s="12">
        <v>65061090</v>
      </c>
      <c r="L89" s="19">
        <v>0.18</v>
      </c>
    </row>
    <row r="90" spans="6:12" ht="18" customHeight="1" x14ac:dyDescent="0.2">
      <c r="F90" s="11" t="s">
        <v>248</v>
      </c>
      <c r="G90" s="11" t="s">
        <v>232</v>
      </c>
      <c r="H90" s="11" t="s">
        <v>28</v>
      </c>
      <c r="I90" s="11" t="s">
        <v>249</v>
      </c>
      <c r="J90" s="11" t="str">
        <f>VLOOKUP(I90,[1]Sheet1!$C$2:$D$109,2,0)</f>
        <v>PC607</v>
      </c>
      <c r="K90" s="12">
        <v>65061090</v>
      </c>
      <c r="L90" s="19">
        <v>0.18</v>
      </c>
    </row>
    <row r="91" spans="6:12" ht="18" customHeight="1" x14ac:dyDescent="0.2">
      <c r="F91" s="11" t="s">
        <v>250</v>
      </c>
      <c r="G91" s="11" t="s">
        <v>232</v>
      </c>
      <c r="H91" s="11" t="s">
        <v>28</v>
      </c>
      <c r="I91" s="11" t="s">
        <v>249</v>
      </c>
      <c r="J91" s="11" t="str">
        <f>VLOOKUP(I91,[1]Sheet1!$C$2:$D$109,2,0)</f>
        <v>PC607</v>
      </c>
      <c r="K91" s="12">
        <v>65061090</v>
      </c>
      <c r="L91" s="19">
        <v>0.18</v>
      </c>
    </row>
    <row r="92" spans="6:12" ht="18" customHeight="1" x14ac:dyDescent="0.2">
      <c r="F92" s="11" t="s">
        <v>251</v>
      </c>
      <c r="G92" s="11" t="s">
        <v>232</v>
      </c>
      <c r="H92" s="11" t="s">
        <v>28</v>
      </c>
      <c r="I92" s="11" t="s">
        <v>249</v>
      </c>
      <c r="J92" s="11" t="str">
        <f>VLOOKUP(I92,[1]Sheet1!$C$2:$D$109,2,0)</f>
        <v>PC607</v>
      </c>
      <c r="K92" s="12">
        <v>65061090</v>
      </c>
      <c r="L92" s="19">
        <v>0.18</v>
      </c>
    </row>
    <row r="93" spans="6:12" ht="18" customHeight="1" x14ac:dyDescent="0.2">
      <c r="F93" s="11" t="s">
        <v>252</v>
      </c>
      <c r="G93" s="11" t="s">
        <v>232</v>
      </c>
      <c r="H93" s="11" t="s">
        <v>28</v>
      </c>
      <c r="I93" s="11" t="s">
        <v>253</v>
      </c>
      <c r="J93" s="11" t="str">
        <f>VLOOKUP(I93,[1]Sheet1!$C$2:$D$109,2,0)</f>
        <v>PC671</v>
      </c>
      <c r="K93" s="12">
        <v>65061090</v>
      </c>
      <c r="L93" s="19">
        <v>0.18</v>
      </c>
    </row>
    <row r="94" spans="6:12" ht="18" customHeight="1" x14ac:dyDescent="0.2">
      <c r="F94" s="11" t="s">
        <v>254</v>
      </c>
      <c r="G94" s="11" t="s">
        <v>232</v>
      </c>
      <c r="H94" s="11" t="s">
        <v>28</v>
      </c>
      <c r="I94" s="11" t="s">
        <v>255</v>
      </c>
      <c r="J94" s="11" t="str">
        <f>VLOOKUP(I94,[1]Sheet1!$C$2:$D$109,2,0)</f>
        <v>PC606</v>
      </c>
      <c r="K94" s="12">
        <v>65061090</v>
      </c>
      <c r="L94" s="19">
        <v>0.18</v>
      </c>
    </row>
    <row r="95" spans="6:12" ht="18" customHeight="1" x14ac:dyDescent="0.2">
      <c r="F95" s="11" t="s">
        <v>256</v>
      </c>
      <c r="G95" s="11" t="s">
        <v>232</v>
      </c>
      <c r="H95" s="11" t="s">
        <v>15</v>
      </c>
      <c r="I95" s="11" t="s">
        <v>257</v>
      </c>
      <c r="J95" s="11" t="str">
        <f>VLOOKUP(I95,[1]Sheet1!$C$2:$D$109,2,0)</f>
        <v>PC624</v>
      </c>
      <c r="K95" s="27">
        <v>84142010</v>
      </c>
      <c r="L95" s="13">
        <v>0.18</v>
      </c>
    </row>
    <row r="96" spans="6:12" ht="18" customHeight="1" x14ac:dyDescent="0.2">
      <c r="F96" s="11" t="s">
        <v>258</v>
      </c>
      <c r="G96" s="11" t="s">
        <v>232</v>
      </c>
      <c r="H96" s="11" t="s">
        <v>15</v>
      </c>
      <c r="I96" s="11" t="s">
        <v>259</v>
      </c>
      <c r="J96" s="11" t="str">
        <f>VLOOKUP(I96,[1]Sheet1!$C$2:$D$109,2,0)</f>
        <v>PC625</v>
      </c>
      <c r="K96" s="27">
        <v>84142010</v>
      </c>
      <c r="L96" s="13">
        <v>0.18</v>
      </c>
    </row>
    <row r="97" spans="1:12" ht="18" customHeight="1" x14ac:dyDescent="0.2">
      <c r="F97" s="11" t="s">
        <v>260</v>
      </c>
      <c r="G97" s="11" t="s">
        <v>232</v>
      </c>
      <c r="H97" s="11" t="s">
        <v>60</v>
      </c>
      <c r="I97" s="11" t="s">
        <v>261</v>
      </c>
      <c r="J97" s="11" t="str">
        <f>VLOOKUP(I97,[1]Sheet1!$C$2:$D$109,2,0)</f>
        <v>PC333</v>
      </c>
      <c r="K97" s="12">
        <v>87149990</v>
      </c>
      <c r="L97" s="19">
        <v>0.18</v>
      </c>
    </row>
    <row r="98" spans="1:12" ht="18" customHeight="1" x14ac:dyDescent="0.2">
      <c r="F98" s="11" t="s">
        <v>262</v>
      </c>
      <c r="G98" s="11" t="s">
        <v>232</v>
      </c>
      <c r="H98" s="11" t="s">
        <v>28</v>
      </c>
      <c r="I98" s="11" t="s">
        <v>263</v>
      </c>
      <c r="J98" s="11" t="s">
        <v>264</v>
      </c>
      <c r="K98" s="12">
        <v>65061090</v>
      </c>
      <c r="L98" s="19">
        <v>0.18</v>
      </c>
    </row>
    <row r="99" spans="1:12" ht="18" customHeight="1" x14ac:dyDescent="0.2">
      <c r="F99" s="11" t="s">
        <v>265</v>
      </c>
      <c r="G99" s="11" t="s">
        <v>232</v>
      </c>
      <c r="H99" s="11" t="s">
        <v>40</v>
      </c>
      <c r="I99" s="11" t="s">
        <v>266</v>
      </c>
      <c r="J99" s="11" t="str">
        <f>VLOOKUP(I99,[1]Sheet1!$C$2:$D$109,2,0)</f>
        <v>PC342</v>
      </c>
      <c r="K99" s="12">
        <v>83014090</v>
      </c>
      <c r="L99" s="19">
        <v>0.18</v>
      </c>
    </row>
    <row r="100" spans="1:12" ht="18" customHeight="1" x14ac:dyDescent="0.2">
      <c r="F100" s="11" t="s">
        <v>267</v>
      </c>
      <c r="G100" s="11" t="s">
        <v>232</v>
      </c>
      <c r="H100" s="11" t="s">
        <v>40</v>
      </c>
      <c r="I100" s="11" t="s">
        <v>268</v>
      </c>
      <c r="J100" s="11" t="s">
        <v>269</v>
      </c>
      <c r="K100" s="12">
        <v>83014090</v>
      </c>
      <c r="L100" s="19">
        <v>0.18</v>
      </c>
    </row>
    <row r="101" spans="1:12" ht="18" customHeight="1" x14ac:dyDescent="0.2">
      <c r="F101" s="11" t="s">
        <v>270</v>
      </c>
      <c r="G101" s="11" t="s">
        <v>232</v>
      </c>
      <c r="H101" s="11" t="s">
        <v>60</v>
      </c>
      <c r="I101" s="11" t="s">
        <v>271</v>
      </c>
      <c r="J101" s="11" t="str">
        <f>VLOOKUP(I101,[1]Sheet1!$C$2:$D$109,2,0)</f>
        <v>PC334</v>
      </c>
      <c r="K101" s="12">
        <v>87149990</v>
      </c>
      <c r="L101" s="19">
        <v>0.18</v>
      </c>
    </row>
    <row r="102" spans="1:12" ht="18" customHeight="1" x14ac:dyDescent="0.2">
      <c r="F102" s="11" t="s">
        <v>272</v>
      </c>
      <c r="G102" s="11" t="s">
        <v>232</v>
      </c>
      <c r="H102" s="11" t="s">
        <v>28</v>
      </c>
      <c r="I102" s="11" t="s">
        <v>273</v>
      </c>
      <c r="J102" s="11" t="str">
        <f>VLOOKUP(I102,[1]Sheet1!$C$2:$D$109,2,0)</f>
        <v>PC595</v>
      </c>
      <c r="K102" s="12">
        <v>65061090</v>
      </c>
      <c r="L102" s="19">
        <v>0.18</v>
      </c>
    </row>
    <row r="103" spans="1:12" ht="18" customHeight="1" x14ac:dyDescent="0.2">
      <c r="F103" s="11" t="s">
        <v>274</v>
      </c>
      <c r="G103" s="11" t="s">
        <v>232</v>
      </c>
      <c r="H103" s="11" t="s">
        <v>28</v>
      </c>
      <c r="I103" s="11" t="s">
        <v>275</v>
      </c>
      <c r="J103" s="11" t="str">
        <f>VLOOKUP(I103,[1]Sheet1!$C$2:$D$109,2,0)</f>
        <v>PC627</v>
      </c>
      <c r="K103" s="12">
        <v>65061090</v>
      </c>
      <c r="L103" s="19">
        <v>0.18</v>
      </c>
    </row>
    <row r="104" spans="1:12" ht="18" customHeight="1" x14ac:dyDescent="0.2">
      <c r="F104" s="11" t="s">
        <v>276</v>
      </c>
      <c r="G104" s="11" t="s">
        <v>232</v>
      </c>
      <c r="H104" s="11" t="s">
        <v>28</v>
      </c>
      <c r="I104" s="11" t="s">
        <v>277</v>
      </c>
      <c r="J104" s="11" t="str">
        <f>VLOOKUP(I104,[1]Sheet1!$C$2:$D$109,2,0)</f>
        <v>PC596</v>
      </c>
      <c r="K104" s="12">
        <v>65061090</v>
      </c>
      <c r="L104" s="19">
        <v>0.18</v>
      </c>
    </row>
    <row r="105" spans="1:12" ht="18" customHeight="1" x14ac:dyDescent="0.25">
      <c r="A105" t="s">
        <v>278</v>
      </c>
      <c r="F105" s="11" t="s">
        <v>279</v>
      </c>
      <c r="G105" s="11" t="s">
        <v>232</v>
      </c>
      <c r="H105" s="11" t="s">
        <v>28</v>
      </c>
      <c r="I105" s="11" t="s">
        <v>280</v>
      </c>
      <c r="J105" s="11" t="str">
        <f>VLOOKUP(I105,[1]Sheet1!$C$2:$D$109,2,0)</f>
        <v>PC591</v>
      </c>
      <c r="K105" s="12">
        <v>65061090</v>
      </c>
      <c r="L105" s="19">
        <v>0.18</v>
      </c>
    </row>
    <row r="106" spans="1:12" ht="18" customHeight="1" x14ac:dyDescent="0.2">
      <c r="F106" s="11" t="s">
        <v>281</v>
      </c>
      <c r="G106" s="11" t="s">
        <v>232</v>
      </c>
      <c r="H106" s="11" t="s">
        <v>28</v>
      </c>
      <c r="I106" s="11" t="s">
        <v>273</v>
      </c>
      <c r="J106" s="11" t="str">
        <f>VLOOKUP(I106,[1]Sheet1!$C$2:$D$109,2,0)</f>
        <v>PC595</v>
      </c>
      <c r="K106" s="12">
        <v>65061090</v>
      </c>
      <c r="L106" s="19">
        <v>0.18</v>
      </c>
    </row>
    <row r="107" spans="1:12" ht="18" customHeight="1" x14ac:dyDescent="0.2">
      <c r="F107" s="11" t="s">
        <v>282</v>
      </c>
      <c r="G107" s="11" t="s">
        <v>232</v>
      </c>
      <c r="H107" s="11" t="s">
        <v>28</v>
      </c>
      <c r="I107" s="11" t="s">
        <v>280</v>
      </c>
      <c r="J107" s="11" t="str">
        <f>VLOOKUP(I107,[1]Sheet1!$C$2:$D$109,2,0)</f>
        <v>PC591</v>
      </c>
      <c r="K107" s="12">
        <v>65061090</v>
      </c>
      <c r="L107" s="19">
        <v>0.18</v>
      </c>
    </row>
    <row r="108" spans="1:12" ht="18" customHeight="1" x14ac:dyDescent="0.2">
      <c r="F108" s="11" t="s">
        <v>283</v>
      </c>
      <c r="G108" s="11" t="s">
        <v>232</v>
      </c>
      <c r="H108" s="11" t="s">
        <v>40</v>
      </c>
      <c r="I108" s="11" t="s">
        <v>284</v>
      </c>
      <c r="J108" s="11" t="str">
        <f>VLOOKUP(I108,[1]Sheet1!$C$2:$D$109,2,0)</f>
        <v>PC601</v>
      </c>
      <c r="K108" s="12">
        <v>83014090</v>
      </c>
      <c r="L108" s="19">
        <v>0.18</v>
      </c>
    </row>
    <row r="109" spans="1:12" ht="18" customHeight="1" x14ac:dyDescent="0.2">
      <c r="F109" s="11" t="s">
        <v>285</v>
      </c>
      <c r="G109" s="11" t="s">
        <v>232</v>
      </c>
      <c r="H109" s="11" t="s">
        <v>40</v>
      </c>
      <c r="I109" s="11" t="s">
        <v>284</v>
      </c>
      <c r="J109" s="11" t="str">
        <f>VLOOKUP(I109,[1]Sheet1!$C$2:$D$109,2,0)</f>
        <v>PC601</v>
      </c>
      <c r="K109" s="12">
        <v>83014090</v>
      </c>
      <c r="L109" s="19">
        <v>0.18</v>
      </c>
    </row>
    <row r="110" spans="1:12" ht="18" customHeight="1" x14ac:dyDescent="0.2">
      <c r="F110" s="11" t="s">
        <v>286</v>
      </c>
      <c r="G110" s="11" t="s">
        <v>232</v>
      </c>
      <c r="H110" s="11" t="s">
        <v>60</v>
      </c>
      <c r="I110" s="11" t="s">
        <v>287</v>
      </c>
      <c r="J110" s="11" t="str">
        <f>VLOOKUP(I110,[1]Sheet1!$C$2:$D$109,2,0)</f>
        <v>PC391</v>
      </c>
      <c r="K110" s="12">
        <v>87149990</v>
      </c>
      <c r="L110" s="19">
        <v>0.18</v>
      </c>
    </row>
    <row r="111" spans="1:12" ht="18" customHeight="1" x14ac:dyDescent="0.2">
      <c r="F111" s="11" t="s">
        <v>288</v>
      </c>
      <c r="G111" s="11" t="s">
        <v>232</v>
      </c>
      <c r="H111" s="11" t="s">
        <v>28</v>
      </c>
      <c r="I111" s="11" t="s">
        <v>289</v>
      </c>
      <c r="J111" s="11" t="s">
        <v>290</v>
      </c>
      <c r="K111" s="12">
        <v>65061090</v>
      </c>
      <c r="L111" s="19">
        <v>0.18</v>
      </c>
    </row>
    <row r="112" spans="1:12" ht="18" customHeight="1" x14ac:dyDescent="0.2">
      <c r="F112" s="11" t="s">
        <v>291</v>
      </c>
      <c r="G112" s="11" t="s">
        <v>232</v>
      </c>
      <c r="H112" s="11" t="s">
        <v>28</v>
      </c>
      <c r="I112" s="11" t="s">
        <v>292</v>
      </c>
      <c r="J112" s="11" t="str">
        <f>VLOOKUP(I112,[1]Sheet1!$C$2:$D$109,2,0)</f>
        <v>PC323</v>
      </c>
      <c r="K112" s="12">
        <v>65061090</v>
      </c>
      <c r="L112" s="19">
        <v>0.18</v>
      </c>
    </row>
    <row r="113" spans="6:12" ht="18" customHeight="1" x14ac:dyDescent="0.2">
      <c r="F113" s="28" t="s">
        <v>293</v>
      </c>
      <c r="G113" s="11" t="s">
        <v>14</v>
      </c>
      <c r="H113" s="11" t="s">
        <v>60</v>
      </c>
      <c r="I113" s="11" t="s">
        <v>294</v>
      </c>
      <c r="J113" s="11" t="s">
        <v>295</v>
      </c>
      <c r="K113" s="12">
        <v>87149990</v>
      </c>
      <c r="L113" s="19">
        <v>0.18</v>
      </c>
    </row>
    <row r="114" spans="6:12" ht="18" customHeight="1" x14ac:dyDescent="0.2">
      <c r="F114" s="28" t="s">
        <v>296</v>
      </c>
      <c r="G114" s="11" t="s">
        <v>14</v>
      </c>
      <c r="H114" s="11" t="s">
        <v>297</v>
      </c>
      <c r="I114" s="11" t="s">
        <v>298</v>
      </c>
      <c r="J114" s="11" t="str">
        <f>VLOOKUP(I114,[1]Sheet1!$C$2:$D$109,2,0)</f>
        <v>PC204</v>
      </c>
      <c r="K114" s="12">
        <v>87149990</v>
      </c>
      <c r="L114" s="19">
        <v>0.18</v>
      </c>
    </row>
    <row r="115" spans="6:12" ht="18" customHeight="1" x14ac:dyDescent="0.2">
      <c r="F115" s="28" t="s">
        <v>299</v>
      </c>
      <c r="G115" s="11" t="s">
        <v>14</v>
      </c>
      <c r="H115" s="11" t="s">
        <v>297</v>
      </c>
      <c r="I115" s="11" t="s">
        <v>300</v>
      </c>
      <c r="J115" s="11" t="str">
        <f>VLOOKUP(I115,[1]Sheet1!$C$2:$D$109,2,0)</f>
        <v>PC205</v>
      </c>
      <c r="K115" s="12">
        <v>87149990</v>
      </c>
      <c r="L115" s="19">
        <v>0.18</v>
      </c>
    </row>
    <row r="116" spans="6:12" ht="18" customHeight="1" x14ac:dyDescent="0.2">
      <c r="F116" s="28" t="s">
        <v>301</v>
      </c>
      <c r="G116" s="11" t="s">
        <v>14</v>
      </c>
      <c r="H116" s="11" t="s">
        <v>297</v>
      </c>
      <c r="I116" s="11" t="s">
        <v>300</v>
      </c>
      <c r="J116" s="11" t="str">
        <f>VLOOKUP(I116,[1]Sheet1!$C$2:$D$109,2,0)</f>
        <v>PC205</v>
      </c>
      <c r="K116" s="12">
        <v>87149990</v>
      </c>
      <c r="L116" s="19">
        <v>0.18</v>
      </c>
    </row>
    <row r="117" spans="6:12" ht="18" customHeight="1" x14ac:dyDescent="0.2">
      <c r="F117" s="28" t="s">
        <v>302</v>
      </c>
      <c r="G117" s="11" t="s">
        <v>14</v>
      </c>
      <c r="H117" s="11" t="s">
        <v>303</v>
      </c>
      <c r="I117" s="11" t="s">
        <v>304</v>
      </c>
      <c r="J117" s="11" t="s">
        <v>305</v>
      </c>
      <c r="K117" s="29">
        <v>87149990</v>
      </c>
      <c r="L117" s="13">
        <v>0.18</v>
      </c>
    </row>
    <row r="118" spans="6:12" ht="18" customHeight="1" x14ac:dyDescent="0.2">
      <c r="F118" s="28" t="s">
        <v>306</v>
      </c>
      <c r="G118" s="11" t="s">
        <v>14</v>
      </c>
      <c r="H118" s="11" t="s">
        <v>297</v>
      </c>
      <c r="I118" s="11" t="s">
        <v>307</v>
      </c>
      <c r="J118" s="11" t="s">
        <v>308</v>
      </c>
      <c r="K118" s="12">
        <v>87149990</v>
      </c>
      <c r="L118" s="19">
        <v>0.18</v>
      </c>
    </row>
    <row r="119" spans="6:12" ht="18" customHeight="1" x14ac:dyDescent="0.2">
      <c r="F119" s="28" t="s">
        <v>309</v>
      </c>
      <c r="G119" s="11" t="s">
        <v>14</v>
      </c>
      <c r="H119" s="11" t="s">
        <v>60</v>
      </c>
      <c r="I119" s="11" t="s">
        <v>310</v>
      </c>
      <c r="J119" s="11" t="str">
        <f>VLOOKUP(I119,[1]Sheet1!$C$2:$D$109,2,0)</f>
        <v>PC099</v>
      </c>
      <c r="K119" s="12">
        <v>87149990</v>
      </c>
      <c r="L119" s="19">
        <v>0.18</v>
      </c>
    </row>
    <row r="120" spans="6:12" ht="18" customHeight="1" x14ac:dyDescent="0.2">
      <c r="F120" s="28" t="s">
        <v>311</v>
      </c>
      <c r="G120" s="11" t="s">
        <v>14</v>
      </c>
      <c r="H120" s="11" t="s">
        <v>60</v>
      </c>
      <c r="I120" s="11" t="s">
        <v>312</v>
      </c>
      <c r="J120" s="11" t="str">
        <f>VLOOKUP(I120,[1]Sheet1!$C$2:$D$109,2,0)</f>
        <v>PC610</v>
      </c>
      <c r="K120" s="12">
        <v>87149990</v>
      </c>
      <c r="L120" s="19">
        <v>0.18</v>
      </c>
    </row>
    <row r="121" spans="6:12" ht="18" customHeight="1" x14ac:dyDescent="0.2">
      <c r="F121" s="28" t="s">
        <v>313</v>
      </c>
      <c r="G121" s="11" t="s">
        <v>14</v>
      </c>
      <c r="H121" s="11" t="s">
        <v>297</v>
      </c>
      <c r="I121" s="11" t="s">
        <v>314</v>
      </c>
      <c r="J121" s="11" t="str">
        <f>VLOOKUP(I121,[1]Sheet1!$C$2:$D$109,2,0)</f>
        <v>PC209</v>
      </c>
      <c r="K121" s="12">
        <v>87149990</v>
      </c>
      <c r="L121" s="19">
        <v>0.18</v>
      </c>
    </row>
    <row r="122" spans="6:12" ht="18" customHeight="1" x14ac:dyDescent="0.2">
      <c r="F122" s="28" t="s">
        <v>315</v>
      </c>
      <c r="G122" s="11" t="s">
        <v>14</v>
      </c>
      <c r="H122" s="11" t="s">
        <v>40</v>
      </c>
      <c r="I122" s="11" t="s">
        <v>316</v>
      </c>
      <c r="J122" s="11" t="str">
        <f>VLOOKUP(I122,[1]Sheet1!$C$2:$D$109,2,0)</f>
        <v>PC030</v>
      </c>
      <c r="K122" s="12">
        <v>83014090</v>
      </c>
      <c r="L122" s="19">
        <v>0.18</v>
      </c>
    </row>
    <row r="123" spans="6:12" ht="18" customHeight="1" x14ac:dyDescent="0.2">
      <c r="F123" s="30" t="s">
        <v>317</v>
      </c>
      <c r="G123" s="11" t="s">
        <v>14</v>
      </c>
      <c r="H123" s="30" t="s">
        <v>40</v>
      </c>
      <c r="I123" s="30" t="s">
        <v>318</v>
      </c>
      <c r="J123" s="11" t="s">
        <v>319</v>
      </c>
      <c r="K123" s="12">
        <v>83014090</v>
      </c>
      <c r="L123" s="19">
        <v>0.18</v>
      </c>
    </row>
    <row r="124" spans="6:12" ht="18" customHeight="1" x14ac:dyDescent="0.2">
      <c r="F124" s="30" t="s">
        <v>320</v>
      </c>
      <c r="G124" s="11" t="s">
        <v>14</v>
      </c>
      <c r="H124" s="30" t="s">
        <v>321</v>
      </c>
      <c r="I124" s="30" t="s">
        <v>322</v>
      </c>
      <c r="J124" s="11" t="s">
        <v>323</v>
      </c>
      <c r="K124" s="12">
        <v>87149990</v>
      </c>
      <c r="L124" s="19">
        <v>0.18</v>
      </c>
    </row>
    <row r="125" spans="6:12" ht="18" customHeight="1" x14ac:dyDescent="0.2">
      <c r="F125" s="30" t="s">
        <v>324</v>
      </c>
      <c r="G125" s="11" t="s">
        <v>14</v>
      </c>
      <c r="H125" s="30" t="s">
        <v>60</v>
      </c>
      <c r="I125" s="30" t="s">
        <v>325</v>
      </c>
      <c r="J125" s="11" t="s">
        <v>326</v>
      </c>
      <c r="K125" s="12">
        <v>87149990</v>
      </c>
      <c r="L125" s="19">
        <v>0.18</v>
      </c>
    </row>
    <row r="126" spans="6:12" ht="18" customHeight="1" x14ac:dyDescent="0.2">
      <c r="F126" s="30" t="s">
        <v>327</v>
      </c>
      <c r="G126" s="11" t="s">
        <v>14</v>
      </c>
      <c r="H126" s="30" t="s">
        <v>60</v>
      </c>
      <c r="I126" s="30" t="s">
        <v>328</v>
      </c>
      <c r="J126" s="11" t="s">
        <v>329</v>
      </c>
      <c r="K126" s="12">
        <v>87149990</v>
      </c>
      <c r="L126" s="19">
        <v>0.18</v>
      </c>
    </row>
    <row r="127" spans="6:12" ht="18" customHeight="1" x14ac:dyDescent="0.2">
      <c r="F127" s="30" t="s">
        <v>330</v>
      </c>
      <c r="G127" s="11" t="s">
        <v>14</v>
      </c>
      <c r="H127" s="30" t="s">
        <v>331</v>
      </c>
      <c r="I127" s="30" t="s">
        <v>332</v>
      </c>
      <c r="J127" s="11" t="s">
        <v>333</v>
      </c>
      <c r="K127" s="12">
        <v>39269099</v>
      </c>
      <c r="L127" s="19">
        <v>0.18</v>
      </c>
    </row>
    <row r="128" spans="6:12" ht="18" customHeight="1" x14ac:dyDescent="0.2">
      <c r="F128" s="30" t="s">
        <v>334</v>
      </c>
      <c r="G128" s="30" t="s">
        <v>335</v>
      </c>
      <c r="H128" s="30" t="s">
        <v>335</v>
      </c>
      <c r="I128" s="30" t="s">
        <v>336</v>
      </c>
      <c r="J128" s="11" t="s">
        <v>337</v>
      </c>
      <c r="K128" s="12">
        <v>95030090</v>
      </c>
      <c r="L128" s="19">
        <v>0.18</v>
      </c>
    </row>
    <row r="129" spans="6:12" ht="18" customHeight="1" x14ac:dyDescent="0.2">
      <c r="F129" s="30" t="s">
        <v>338</v>
      </c>
      <c r="G129" s="11" t="s">
        <v>14</v>
      </c>
      <c r="H129" s="30" t="s">
        <v>28</v>
      </c>
      <c r="I129" s="30" t="s">
        <v>339</v>
      </c>
      <c r="J129" s="11" t="s">
        <v>340</v>
      </c>
      <c r="K129" s="12">
        <v>65061090</v>
      </c>
      <c r="L129" s="19">
        <v>0.18</v>
      </c>
    </row>
    <row r="130" spans="6:12" ht="18" customHeight="1" x14ac:dyDescent="0.2">
      <c r="F130" s="30" t="s">
        <v>341</v>
      </c>
      <c r="G130" s="11" t="s">
        <v>14</v>
      </c>
      <c r="H130" s="30" t="s">
        <v>28</v>
      </c>
      <c r="I130" s="30" t="s">
        <v>342</v>
      </c>
      <c r="J130" s="11" t="s">
        <v>343</v>
      </c>
      <c r="K130" s="12">
        <v>65061090</v>
      </c>
      <c r="L130" s="19">
        <v>0.18</v>
      </c>
    </row>
    <row r="131" spans="6:12" ht="18" customHeight="1" x14ac:dyDescent="0.2">
      <c r="F131" s="30" t="s">
        <v>344</v>
      </c>
      <c r="G131" s="11" t="s">
        <v>14</v>
      </c>
      <c r="H131" s="30" t="s">
        <v>28</v>
      </c>
      <c r="I131" s="30" t="s">
        <v>345</v>
      </c>
      <c r="J131" s="11" t="s">
        <v>346</v>
      </c>
      <c r="K131" s="12">
        <v>65061090</v>
      </c>
      <c r="L131" s="19">
        <v>0.18</v>
      </c>
    </row>
    <row r="132" spans="6:12" ht="18" customHeight="1" x14ac:dyDescent="0.2">
      <c r="F132" s="30" t="s">
        <v>347</v>
      </c>
      <c r="G132" s="30" t="s">
        <v>335</v>
      </c>
      <c r="H132" s="30" t="s">
        <v>335</v>
      </c>
      <c r="I132" s="30" t="s">
        <v>348</v>
      </c>
      <c r="J132" s="11" t="s">
        <v>349</v>
      </c>
      <c r="K132" s="12">
        <v>95030090</v>
      </c>
      <c r="L132" s="19">
        <v>0.18</v>
      </c>
    </row>
    <row r="133" spans="6:12" ht="18" customHeight="1" x14ac:dyDescent="0.2">
      <c r="F133" s="30" t="s">
        <v>350</v>
      </c>
      <c r="G133" s="30" t="s">
        <v>335</v>
      </c>
      <c r="H133" s="30" t="s">
        <v>335</v>
      </c>
      <c r="I133" s="30" t="s">
        <v>345</v>
      </c>
      <c r="J133" s="11" t="s">
        <v>351</v>
      </c>
      <c r="K133" s="12">
        <v>95030090</v>
      </c>
      <c r="L133" s="19">
        <v>0.18</v>
      </c>
    </row>
    <row r="134" spans="6:12" ht="18" customHeight="1" x14ac:dyDescent="0.2">
      <c r="F134" s="30" t="s">
        <v>352</v>
      </c>
      <c r="G134" s="30" t="s">
        <v>335</v>
      </c>
      <c r="H134" s="30" t="s">
        <v>335</v>
      </c>
      <c r="I134" s="30" t="s">
        <v>353</v>
      </c>
      <c r="J134" s="11" t="s">
        <v>354</v>
      </c>
      <c r="K134" s="12">
        <v>95030090</v>
      </c>
      <c r="L134" s="19">
        <v>0.18</v>
      </c>
    </row>
    <row r="135" spans="6:12" ht="18" customHeight="1" x14ac:dyDescent="0.2">
      <c r="F135" s="30" t="s">
        <v>355</v>
      </c>
      <c r="G135" s="11" t="s">
        <v>14</v>
      </c>
      <c r="H135" s="30" t="s">
        <v>28</v>
      </c>
      <c r="I135" s="30" t="s">
        <v>356</v>
      </c>
      <c r="J135" s="11" t="s">
        <v>357</v>
      </c>
      <c r="K135" s="12">
        <v>65061090</v>
      </c>
      <c r="L135" s="19">
        <v>0.18</v>
      </c>
    </row>
    <row r="136" spans="6:12" ht="18" customHeight="1" x14ac:dyDescent="0.2">
      <c r="F136" s="30" t="s">
        <v>358</v>
      </c>
      <c r="G136" s="11" t="s">
        <v>14</v>
      </c>
      <c r="H136" s="30" t="s">
        <v>331</v>
      </c>
      <c r="I136" s="30" t="s">
        <v>359</v>
      </c>
      <c r="J136" s="11" t="s">
        <v>360</v>
      </c>
      <c r="K136" s="12">
        <v>39269099</v>
      </c>
      <c r="L136" s="19">
        <v>0.18</v>
      </c>
    </row>
    <row r="137" spans="6:12" ht="18" customHeight="1" x14ac:dyDescent="0.2">
      <c r="F137" s="30" t="s">
        <v>361</v>
      </c>
      <c r="G137" s="30" t="s">
        <v>335</v>
      </c>
      <c r="H137" s="30" t="s">
        <v>335</v>
      </c>
      <c r="I137" s="30" t="s">
        <v>362</v>
      </c>
      <c r="J137" s="11" t="s">
        <v>363</v>
      </c>
      <c r="K137" s="12">
        <v>95030090</v>
      </c>
      <c r="L137" s="19">
        <v>0.18</v>
      </c>
    </row>
    <row r="138" spans="6:12" ht="18" customHeight="1" x14ac:dyDescent="0.2">
      <c r="F138" s="30" t="s">
        <v>364</v>
      </c>
      <c r="G138" s="30" t="s">
        <v>335</v>
      </c>
      <c r="H138" s="30" t="s">
        <v>335</v>
      </c>
      <c r="I138" s="30" t="s">
        <v>365</v>
      </c>
      <c r="J138" s="11" t="s">
        <v>366</v>
      </c>
      <c r="K138" s="12">
        <v>95030090</v>
      </c>
      <c r="L138" s="19">
        <v>0.18</v>
      </c>
    </row>
    <row r="139" spans="6:12" ht="18" customHeight="1" x14ac:dyDescent="0.2">
      <c r="F139" s="30" t="s">
        <v>367</v>
      </c>
      <c r="G139" s="11" t="s">
        <v>232</v>
      </c>
      <c r="H139" s="30" t="s">
        <v>368</v>
      </c>
      <c r="I139" s="30" t="s">
        <v>369</v>
      </c>
      <c r="J139" s="11" t="s">
        <v>370</v>
      </c>
      <c r="K139" s="12">
        <v>42029900</v>
      </c>
      <c r="L139" s="31">
        <v>0.18</v>
      </c>
    </row>
    <row r="140" spans="6:12" ht="18" customHeight="1" x14ac:dyDescent="0.2">
      <c r="F140" s="30" t="s">
        <v>371</v>
      </c>
      <c r="G140" s="11" t="s">
        <v>14</v>
      </c>
      <c r="H140" s="30" t="s">
        <v>372</v>
      </c>
      <c r="I140" s="30" t="s">
        <v>373</v>
      </c>
      <c r="J140" s="11" t="s">
        <v>374</v>
      </c>
      <c r="K140" s="12">
        <v>42029900</v>
      </c>
      <c r="L140" s="31">
        <v>0.18</v>
      </c>
    </row>
    <row r="141" spans="6:12" ht="18" customHeight="1" x14ac:dyDescent="0.2">
      <c r="F141" s="30" t="s">
        <v>375</v>
      </c>
      <c r="G141" s="30" t="s">
        <v>48</v>
      </c>
      <c r="H141" s="11" t="s">
        <v>49</v>
      </c>
      <c r="I141" s="30" t="s">
        <v>376</v>
      </c>
      <c r="J141" s="11" t="s">
        <v>377</v>
      </c>
      <c r="K141" s="12">
        <v>87116090</v>
      </c>
      <c r="L141" s="19">
        <v>0.05</v>
      </c>
    </row>
    <row r="142" spans="6:12" ht="18" customHeight="1" x14ac:dyDescent="0.2">
      <c r="F142" s="30" t="s">
        <v>378</v>
      </c>
      <c r="G142" s="30" t="s">
        <v>48</v>
      </c>
      <c r="H142" s="11" t="s">
        <v>49</v>
      </c>
      <c r="I142" s="30" t="s">
        <v>379</v>
      </c>
      <c r="J142" s="11" t="s">
        <v>380</v>
      </c>
      <c r="K142" s="12">
        <v>87116090</v>
      </c>
      <c r="L142" s="19">
        <v>0.05</v>
      </c>
    </row>
    <row r="143" spans="6:12" ht="18" customHeight="1" x14ac:dyDescent="0.2">
      <c r="F143" s="30" t="s">
        <v>381</v>
      </c>
      <c r="G143" s="11" t="s">
        <v>232</v>
      </c>
      <c r="H143" s="30" t="s">
        <v>382</v>
      </c>
      <c r="I143" s="30" t="s">
        <v>382</v>
      </c>
      <c r="J143" s="11" t="s">
        <v>305</v>
      </c>
      <c r="K143" s="29">
        <v>87149990</v>
      </c>
      <c r="L143" s="13">
        <v>0.18</v>
      </c>
    </row>
    <row r="144" spans="6:12" ht="18" customHeight="1" x14ac:dyDescent="0.2">
      <c r="F144" s="30" t="s">
        <v>383</v>
      </c>
      <c r="G144" s="30" t="s">
        <v>48</v>
      </c>
      <c r="H144" s="11" t="s">
        <v>49</v>
      </c>
      <c r="I144" s="30" t="s">
        <v>127</v>
      </c>
      <c r="J144" s="30" t="s">
        <v>128</v>
      </c>
      <c r="K144" s="12">
        <v>87116090</v>
      </c>
      <c r="L144" s="19">
        <v>0.05</v>
      </c>
    </row>
    <row r="146" spans="6:12" ht="18" customHeight="1" x14ac:dyDescent="0.2">
      <c r="F146" s="4" t="s">
        <v>384</v>
      </c>
    </row>
    <row r="147" spans="6:12" ht="18" customHeight="1" x14ac:dyDescent="0.2">
      <c r="F147" s="32" t="s">
        <v>385</v>
      </c>
      <c r="G147" s="32" t="s">
        <v>7</v>
      </c>
      <c r="H147" s="32" t="s">
        <v>8</v>
      </c>
      <c r="I147" s="32" t="s">
        <v>9</v>
      </c>
      <c r="J147" s="32" t="s">
        <v>10</v>
      </c>
      <c r="K147" s="32" t="s">
        <v>11</v>
      </c>
      <c r="L147" s="33" t="s">
        <v>2</v>
      </c>
    </row>
    <row r="148" spans="6:12" ht="18" customHeight="1" x14ac:dyDescent="0.2">
      <c r="F148" s="11" t="s">
        <v>386</v>
      </c>
      <c r="G148" s="11" t="s">
        <v>14</v>
      </c>
      <c r="H148" s="11" t="s">
        <v>15</v>
      </c>
      <c r="I148" s="11" t="s">
        <v>16</v>
      </c>
      <c r="J148" s="11" t="s">
        <v>387</v>
      </c>
      <c r="K148" s="27">
        <v>84142010</v>
      </c>
      <c r="L148" s="34">
        <v>0.18</v>
      </c>
    </row>
    <row r="149" spans="6:12" ht="18" customHeight="1" x14ac:dyDescent="0.2">
      <c r="F149" s="11" t="s">
        <v>388</v>
      </c>
      <c r="G149" s="11" t="s">
        <v>14</v>
      </c>
      <c r="H149" s="11" t="s">
        <v>15</v>
      </c>
      <c r="I149" s="11" t="s">
        <v>19</v>
      </c>
      <c r="J149" s="11" t="s">
        <v>389</v>
      </c>
      <c r="K149" s="27">
        <v>84142010</v>
      </c>
      <c r="L149" s="34">
        <v>0.18</v>
      </c>
    </row>
    <row r="150" spans="6:12" ht="18" customHeight="1" x14ac:dyDescent="0.2">
      <c r="F150" s="11" t="s">
        <v>390</v>
      </c>
      <c r="G150" s="11" t="s">
        <v>14</v>
      </c>
      <c r="H150" s="11" t="s">
        <v>15</v>
      </c>
      <c r="I150" s="11" t="s">
        <v>22</v>
      </c>
      <c r="J150" s="11" t="s">
        <v>391</v>
      </c>
      <c r="K150" s="27">
        <v>84142010</v>
      </c>
      <c r="L150" s="34">
        <v>0.18</v>
      </c>
    </row>
    <row r="151" spans="6:12" ht="18" customHeight="1" x14ac:dyDescent="0.2">
      <c r="F151" s="11" t="s">
        <v>392</v>
      </c>
      <c r="G151" s="11" t="s">
        <v>14</v>
      </c>
      <c r="H151" s="11" t="s">
        <v>15</v>
      </c>
      <c r="I151" s="11" t="s">
        <v>25</v>
      </c>
      <c r="J151" s="11" t="s">
        <v>393</v>
      </c>
      <c r="K151" s="27">
        <v>84142010</v>
      </c>
      <c r="L151" s="34">
        <v>0.18</v>
      </c>
    </row>
    <row r="152" spans="6:12" ht="18" customHeight="1" x14ac:dyDescent="0.2">
      <c r="F152" s="11" t="s">
        <v>394</v>
      </c>
      <c r="G152" s="11" t="s">
        <v>14</v>
      </c>
      <c r="H152" s="11" t="s">
        <v>28</v>
      </c>
      <c r="I152" s="11" t="s">
        <v>29</v>
      </c>
      <c r="J152" s="11" t="s">
        <v>395</v>
      </c>
      <c r="K152" s="12">
        <v>65061090</v>
      </c>
      <c r="L152" s="19">
        <v>0.18</v>
      </c>
    </row>
    <row r="153" spans="6:12" ht="18" customHeight="1" x14ac:dyDescent="0.2">
      <c r="F153" s="11" t="s">
        <v>394</v>
      </c>
      <c r="G153" s="11" t="s">
        <v>14</v>
      </c>
      <c r="H153" s="11" t="s">
        <v>28</v>
      </c>
      <c r="I153" s="11" t="s">
        <v>29</v>
      </c>
      <c r="J153" s="11" t="s">
        <v>395</v>
      </c>
      <c r="K153" s="12">
        <v>65061090</v>
      </c>
      <c r="L153" s="19">
        <v>0.18</v>
      </c>
    </row>
    <row r="154" spans="6:12" ht="18" customHeight="1" x14ac:dyDescent="0.2">
      <c r="F154" s="11" t="s">
        <v>394</v>
      </c>
      <c r="G154" s="11" t="s">
        <v>14</v>
      </c>
      <c r="H154" s="11" t="s">
        <v>28</v>
      </c>
      <c r="I154" s="11" t="s">
        <v>34</v>
      </c>
      <c r="J154" s="11" t="s">
        <v>396</v>
      </c>
      <c r="K154" s="12">
        <v>65061090</v>
      </c>
      <c r="L154" s="19">
        <v>0.18</v>
      </c>
    </row>
    <row r="155" spans="6:12" ht="18" customHeight="1" x14ac:dyDescent="0.2">
      <c r="F155" s="11" t="s">
        <v>397</v>
      </c>
      <c r="G155" s="11" t="s">
        <v>14</v>
      </c>
      <c r="H155" s="11" t="s">
        <v>28</v>
      </c>
      <c r="I155" s="11" t="s">
        <v>37</v>
      </c>
      <c r="J155" s="11" t="s">
        <v>398</v>
      </c>
      <c r="K155" s="12">
        <v>65061090</v>
      </c>
      <c r="L155" s="19">
        <v>0.18</v>
      </c>
    </row>
    <row r="156" spans="6:12" ht="18" customHeight="1" x14ac:dyDescent="0.2">
      <c r="F156" s="11" t="s">
        <v>399</v>
      </c>
      <c r="G156" s="11" t="s">
        <v>14</v>
      </c>
      <c r="H156" s="11" t="s">
        <v>40</v>
      </c>
      <c r="I156" s="11" t="s">
        <v>41</v>
      </c>
      <c r="J156" s="11" t="s">
        <v>42</v>
      </c>
      <c r="K156" s="12">
        <v>83014090</v>
      </c>
      <c r="L156" s="19">
        <v>0.18</v>
      </c>
    </row>
    <row r="157" spans="6:12" ht="18" customHeight="1" x14ac:dyDescent="0.2">
      <c r="F157" s="11" t="s">
        <v>400</v>
      </c>
      <c r="G157" s="11" t="s">
        <v>14</v>
      </c>
      <c r="H157" s="11" t="s">
        <v>28</v>
      </c>
      <c r="I157" s="11" t="s">
        <v>45</v>
      </c>
      <c r="J157" s="11" t="s">
        <v>401</v>
      </c>
      <c r="K157" s="12">
        <v>65061090</v>
      </c>
      <c r="L157" s="19">
        <v>0.18</v>
      </c>
    </row>
    <row r="158" spans="6:12" ht="18" customHeight="1" x14ac:dyDescent="0.2">
      <c r="F158" s="11" t="s">
        <v>402</v>
      </c>
      <c r="G158" s="11" t="s">
        <v>48</v>
      </c>
      <c r="H158" s="11" t="s">
        <v>403</v>
      </c>
      <c r="I158" s="11" t="s">
        <v>50</v>
      </c>
      <c r="J158" s="11" t="s">
        <v>51</v>
      </c>
      <c r="K158" s="12">
        <v>87116090</v>
      </c>
      <c r="L158" s="19">
        <v>0.05</v>
      </c>
    </row>
    <row r="159" spans="6:12" ht="18" customHeight="1" x14ac:dyDescent="0.2">
      <c r="F159" s="11" t="s">
        <v>402</v>
      </c>
      <c r="G159" s="11" t="s">
        <v>48</v>
      </c>
      <c r="H159" s="11" t="s">
        <v>403</v>
      </c>
      <c r="I159" s="11" t="s">
        <v>50</v>
      </c>
      <c r="J159" s="11" t="s">
        <v>51</v>
      </c>
      <c r="K159" s="12">
        <v>87116090</v>
      </c>
      <c r="L159" s="19">
        <v>0.05</v>
      </c>
    </row>
    <row r="160" spans="6:12" ht="18" customHeight="1" x14ac:dyDescent="0.2">
      <c r="F160" s="11" t="s">
        <v>404</v>
      </c>
      <c r="G160" s="11" t="s">
        <v>48</v>
      </c>
      <c r="H160" s="11" t="s">
        <v>403</v>
      </c>
      <c r="I160" s="11" t="s">
        <v>56</v>
      </c>
      <c r="J160" s="11" t="s">
        <v>57</v>
      </c>
      <c r="K160" s="12">
        <v>87116090</v>
      </c>
      <c r="L160" s="19">
        <v>0.05</v>
      </c>
    </row>
    <row r="161" spans="5:12" ht="18" customHeight="1" x14ac:dyDescent="0.2">
      <c r="F161" s="11" t="s">
        <v>405</v>
      </c>
      <c r="G161" s="11" t="s">
        <v>14</v>
      </c>
      <c r="H161" s="11" t="s">
        <v>60</v>
      </c>
      <c r="I161" s="11" t="s">
        <v>406</v>
      </c>
      <c r="J161" s="11" t="s">
        <v>407</v>
      </c>
      <c r="K161" s="12">
        <v>87149990</v>
      </c>
      <c r="L161" s="19">
        <v>0.18</v>
      </c>
    </row>
    <row r="162" spans="5:12" ht="18" customHeight="1" x14ac:dyDescent="0.2">
      <c r="F162" s="11" t="s">
        <v>408</v>
      </c>
      <c r="G162" s="11" t="s">
        <v>14</v>
      </c>
      <c r="H162" s="11" t="s">
        <v>15</v>
      </c>
      <c r="I162" s="11" t="s">
        <v>64</v>
      </c>
      <c r="J162" s="11" t="s">
        <v>409</v>
      </c>
      <c r="K162" s="27">
        <v>84142010</v>
      </c>
      <c r="L162" s="34">
        <v>0.18</v>
      </c>
    </row>
    <row r="163" spans="5:12" ht="18" customHeight="1" x14ac:dyDescent="0.2">
      <c r="F163" s="11" t="s">
        <v>410</v>
      </c>
      <c r="G163" s="11" t="s">
        <v>14</v>
      </c>
      <c r="H163" s="11" t="s">
        <v>411</v>
      </c>
      <c r="I163" s="11" t="s">
        <v>68</v>
      </c>
      <c r="J163" s="11" t="s">
        <v>412</v>
      </c>
      <c r="K163" s="12">
        <v>42029900</v>
      </c>
      <c r="L163" s="19">
        <v>0.18</v>
      </c>
    </row>
    <row r="164" spans="5:12" ht="18" customHeight="1" x14ac:dyDescent="0.2">
      <c r="F164" s="11" t="s">
        <v>413</v>
      </c>
      <c r="G164" s="11" t="s">
        <v>14</v>
      </c>
      <c r="H164" s="11" t="s">
        <v>28</v>
      </c>
      <c r="I164" s="11" t="s">
        <v>71</v>
      </c>
      <c r="J164" s="11" t="s">
        <v>72</v>
      </c>
      <c r="K164" s="12">
        <v>65061090</v>
      </c>
      <c r="L164" s="19">
        <v>0.18</v>
      </c>
    </row>
    <row r="165" spans="5:12" ht="18" customHeight="1" x14ac:dyDescent="0.25">
      <c r="E165" s="35"/>
      <c r="F165" s="36" t="s">
        <v>414</v>
      </c>
      <c r="G165" s="11" t="s">
        <v>14</v>
      </c>
      <c r="H165" s="11" t="s">
        <v>28</v>
      </c>
      <c r="I165" s="11" t="s">
        <v>75</v>
      </c>
      <c r="J165" s="11" t="s">
        <v>76</v>
      </c>
      <c r="K165" s="12">
        <v>65061090</v>
      </c>
      <c r="L165" s="19">
        <v>0.18</v>
      </c>
    </row>
    <row r="166" spans="5:12" ht="18" customHeight="1" x14ac:dyDescent="0.25">
      <c r="E166" s="37"/>
      <c r="F166" s="36" t="s">
        <v>415</v>
      </c>
      <c r="G166" s="11" t="s">
        <v>14</v>
      </c>
      <c r="H166" s="11" t="s">
        <v>15</v>
      </c>
      <c r="I166" s="11" t="s">
        <v>79</v>
      </c>
      <c r="J166" s="11" t="s">
        <v>416</v>
      </c>
      <c r="K166" s="12">
        <v>84142010</v>
      </c>
      <c r="L166" s="31">
        <v>0.18</v>
      </c>
    </row>
    <row r="167" spans="5:12" ht="18" customHeight="1" x14ac:dyDescent="0.25">
      <c r="E167" s="37"/>
      <c r="F167" s="36" t="s">
        <v>417</v>
      </c>
      <c r="G167" s="11" t="s">
        <v>48</v>
      </c>
      <c r="H167" s="11" t="s">
        <v>418</v>
      </c>
      <c r="I167" s="11" t="s">
        <v>82</v>
      </c>
      <c r="J167" s="11" t="s">
        <v>419</v>
      </c>
      <c r="K167" s="12">
        <v>87116090</v>
      </c>
      <c r="L167" s="19">
        <v>0.05</v>
      </c>
    </row>
    <row r="168" spans="5:12" ht="18" customHeight="1" x14ac:dyDescent="0.25">
      <c r="E168" s="38"/>
      <c r="F168" s="36" t="s">
        <v>417</v>
      </c>
      <c r="G168" s="11" t="s">
        <v>48</v>
      </c>
      <c r="H168" s="11" t="s">
        <v>418</v>
      </c>
      <c r="I168" s="11" t="s">
        <v>85</v>
      </c>
      <c r="J168" s="11" t="s">
        <v>420</v>
      </c>
      <c r="K168" s="12">
        <v>87116090</v>
      </c>
      <c r="L168" s="19">
        <v>0.05</v>
      </c>
    </row>
    <row r="169" spans="5:12" ht="18" customHeight="1" x14ac:dyDescent="0.25">
      <c r="E169" s="38"/>
      <c r="F169" s="36" t="s">
        <v>417</v>
      </c>
      <c r="G169" s="11" t="s">
        <v>48</v>
      </c>
      <c r="H169" s="11" t="s">
        <v>418</v>
      </c>
      <c r="I169" s="11" t="s">
        <v>88</v>
      </c>
      <c r="J169" s="11" t="s">
        <v>421</v>
      </c>
      <c r="K169" s="12">
        <v>87116090</v>
      </c>
      <c r="L169" s="19">
        <v>0.05</v>
      </c>
    </row>
    <row r="170" spans="5:12" ht="18" customHeight="1" x14ac:dyDescent="0.25">
      <c r="E170" s="38"/>
      <c r="F170" s="36" t="s">
        <v>422</v>
      </c>
      <c r="G170" s="11" t="s">
        <v>48</v>
      </c>
      <c r="H170" s="11" t="s">
        <v>418</v>
      </c>
      <c r="I170" s="11" t="s">
        <v>91</v>
      </c>
      <c r="J170" s="11" t="s">
        <v>423</v>
      </c>
      <c r="K170" s="12">
        <v>87116090</v>
      </c>
      <c r="L170" s="19">
        <v>0.05</v>
      </c>
    </row>
    <row r="171" spans="5:12" ht="18" customHeight="1" x14ac:dyDescent="0.25">
      <c r="E171" s="38"/>
      <c r="F171" s="36" t="s">
        <v>424</v>
      </c>
      <c r="G171" s="11" t="s">
        <v>48</v>
      </c>
      <c r="H171" s="11" t="s">
        <v>418</v>
      </c>
      <c r="I171" s="11" t="s">
        <v>94</v>
      </c>
      <c r="J171" s="11" t="s">
        <v>425</v>
      </c>
      <c r="K171" s="12">
        <v>87116090</v>
      </c>
      <c r="L171" s="19">
        <v>0.05</v>
      </c>
    </row>
    <row r="172" spans="5:12" ht="18" customHeight="1" x14ac:dyDescent="0.25">
      <c r="E172" s="37"/>
      <c r="F172" s="36" t="s">
        <v>426</v>
      </c>
      <c r="G172" s="11" t="s">
        <v>14</v>
      </c>
      <c r="H172" s="11" t="s">
        <v>60</v>
      </c>
      <c r="I172" s="11" t="s">
        <v>97</v>
      </c>
      <c r="J172" s="11" t="s">
        <v>427</v>
      </c>
      <c r="K172" s="12">
        <v>87149990</v>
      </c>
      <c r="L172" s="19">
        <v>0.18</v>
      </c>
    </row>
    <row r="173" spans="5:12" ht="18" customHeight="1" x14ac:dyDescent="0.25">
      <c r="E173" s="38"/>
      <c r="F173" s="36" t="s">
        <v>428</v>
      </c>
      <c r="G173" s="11" t="s">
        <v>14</v>
      </c>
      <c r="H173" s="11" t="s">
        <v>60</v>
      </c>
      <c r="I173" s="11" t="s">
        <v>100</v>
      </c>
      <c r="J173" s="11" t="s">
        <v>429</v>
      </c>
      <c r="K173" s="12">
        <v>87149990</v>
      </c>
      <c r="L173" s="19">
        <v>0.18</v>
      </c>
    </row>
    <row r="174" spans="5:12" ht="18" customHeight="1" x14ac:dyDescent="0.25">
      <c r="E174" s="37"/>
      <c r="F174" s="36" t="s">
        <v>430</v>
      </c>
      <c r="G174" s="11" t="s">
        <v>14</v>
      </c>
      <c r="H174" s="11" t="s">
        <v>40</v>
      </c>
      <c r="I174" s="11" t="s">
        <v>103</v>
      </c>
      <c r="J174" s="11" t="s">
        <v>104</v>
      </c>
      <c r="K174" s="12">
        <v>83014090</v>
      </c>
      <c r="L174" s="19">
        <v>0.18</v>
      </c>
    </row>
    <row r="175" spans="5:12" ht="18" customHeight="1" x14ac:dyDescent="0.25">
      <c r="E175" s="38"/>
      <c r="F175" s="36" t="s">
        <v>430</v>
      </c>
      <c r="G175" s="11" t="s">
        <v>14</v>
      </c>
      <c r="H175" s="11" t="s">
        <v>40</v>
      </c>
      <c r="I175" s="11" t="s">
        <v>107</v>
      </c>
      <c r="J175" s="11" t="s">
        <v>431</v>
      </c>
      <c r="K175" s="12">
        <v>83014090</v>
      </c>
      <c r="L175" s="19">
        <v>0.18</v>
      </c>
    </row>
    <row r="176" spans="5:12" ht="18" customHeight="1" x14ac:dyDescent="0.25">
      <c r="E176" s="38"/>
      <c r="F176" s="36" t="s">
        <v>432</v>
      </c>
      <c r="G176" s="11" t="s">
        <v>14</v>
      </c>
      <c r="H176" s="11" t="s">
        <v>40</v>
      </c>
      <c r="I176" s="11" t="s">
        <v>110</v>
      </c>
      <c r="J176" s="11" t="s">
        <v>433</v>
      </c>
      <c r="K176" s="12">
        <v>83014090</v>
      </c>
      <c r="L176" s="19">
        <v>0.18</v>
      </c>
    </row>
    <row r="177" spans="5:12" ht="18" customHeight="1" x14ac:dyDescent="0.25">
      <c r="E177" s="37"/>
      <c r="F177" s="36" t="s">
        <v>434</v>
      </c>
      <c r="G177" s="11" t="s">
        <v>14</v>
      </c>
      <c r="H177" s="11" t="s">
        <v>28</v>
      </c>
      <c r="I177" s="11" t="s">
        <v>113</v>
      </c>
      <c r="J177" s="11" t="s">
        <v>114</v>
      </c>
      <c r="K177" s="12">
        <v>65061090</v>
      </c>
      <c r="L177" s="19">
        <v>0.18</v>
      </c>
    </row>
    <row r="178" spans="5:12" ht="18" customHeight="1" x14ac:dyDescent="0.25">
      <c r="E178" s="37"/>
      <c r="F178" s="36" t="s">
        <v>435</v>
      </c>
      <c r="G178" s="11" t="s">
        <v>14</v>
      </c>
      <c r="H178" s="11" t="s">
        <v>28</v>
      </c>
      <c r="I178" s="11" t="s">
        <v>117</v>
      </c>
      <c r="J178" s="11" t="s">
        <v>436</v>
      </c>
      <c r="K178" s="12">
        <v>65061090</v>
      </c>
      <c r="L178" s="19">
        <v>0.18</v>
      </c>
    </row>
    <row r="179" spans="5:12" ht="18" customHeight="1" x14ac:dyDescent="0.25">
      <c r="E179" s="38"/>
      <c r="F179" s="36" t="s">
        <v>437</v>
      </c>
      <c r="G179" s="11" t="s">
        <v>14</v>
      </c>
      <c r="H179" s="11" t="s">
        <v>40</v>
      </c>
      <c r="I179" s="11" t="s">
        <v>120</v>
      </c>
      <c r="J179" s="11" t="s">
        <v>438</v>
      </c>
      <c r="K179" s="12">
        <v>83014090</v>
      </c>
      <c r="L179" s="19">
        <v>0.18</v>
      </c>
    </row>
    <row r="180" spans="5:12" ht="18" customHeight="1" x14ac:dyDescent="0.25">
      <c r="E180" s="37"/>
      <c r="F180" s="36" t="s">
        <v>439</v>
      </c>
      <c r="G180" s="11" t="s">
        <v>48</v>
      </c>
      <c r="H180" s="11" t="s">
        <v>440</v>
      </c>
      <c r="I180" s="11" t="s">
        <v>123</v>
      </c>
      <c r="J180" s="11" t="s">
        <v>124</v>
      </c>
      <c r="K180" s="12">
        <v>87116090</v>
      </c>
      <c r="L180" s="19">
        <v>0.05</v>
      </c>
    </row>
    <row r="181" spans="5:12" ht="18" customHeight="1" x14ac:dyDescent="0.25">
      <c r="E181" s="37"/>
      <c r="F181" s="36" t="s">
        <v>441</v>
      </c>
      <c r="G181" s="11" t="s">
        <v>48</v>
      </c>
      <c r="H181" s="11" t="s">
        <v>440</v>
      </c>
      <c r="I181" s="11" t="s">
        <v>127</v>
      </c>
      <c r="J181" s="11" t="s">
        <v>128</v>
      </c>
      <c r="K181" s="12">
        <v>87116090</v>
      </c>
      <c r="L181" s="19">
        <v>0.05</v>
      </c>
    </row>
    <row r="182" spans="5:12" ht="18" customHeight="1" x14ac:dyDescent="0.25">
      <c r="E182" s="37"/>
      <c r="F182" s="36" t="s">
        <v>442</v>
      </c>
      <c r="G182" s="11" t="s">
        <v>48</v>
      </c>
      <c r="H182" s="11" t="s">
        <v>440</v>
      </c>
      <c r="I182" s="11" t="s">
        <v>131</v>
      </c>
      <c r="J182" s="11" t="s">
        <v>132</v>
      </c>
      <c r="K182" s="12">
        <v>87116090</v>
      </c>
      <c r="L182" s="19">
        <v>0.05</v>
      </c>
    </row>
    <row r="183" spans="5:12" ht="18" customHeight="1" x14ac:dyDescent="0.25">
      <c r="E183" s="37"/>
      <c r="F183" s="36" t="s">
        <v>443</v>
      </c>
      <c r="G183" s="11" t="s">
        <v>135</v>
      </c>
      <c r="H183" s="11" t="s">
        <v>444</v>
      </c>
      <c r="I183" s="11" t="s">
        <v>136</v>
      </c>
      <c r="J183" s="11" t="s">
        <v>445</v>
      </c>
      <c r="K183" s="12">
        <v>87116090</v>
      </c>
      <c r="L183" s="19">
        <v>0.05</v>
      </c>
    </row>
    <row r="184" spans="5:12" ht="18" customHeight="1" x14ac:dyDescent="0.25">
      <c r="E184" s="38"/>
      <c r="F184" s="36" t="s">
        <v>446</v>
      </c>
      <c r="G184" s="11" t="s">
        <v>135</v>
      </c>
      <c r="H184" s="11" t="s">
        <v>444</v>
      </c>
      <c r="I184" s="11" t="s">
        <v>139</v>
      </c>
      <c r="J184" s="11" t="s">
        <v>447</v>
      </c>
      <c r="K184" s="12">
        <v>87116090</v>
      </c>
      <c r="L184" s="19">
        <v>0.05</v>
      </c>
    </row>
    <row r="185" spans="5:12" ht="18" customHeight="1" x14ac:dyDescent="0.25">
      <c r="E185" s="38"/>
      <c r="F185" s="36" t="s">
        <v>448</v>
      </c>
      <c r="G185" s="11" t="s">
        <v>135</v>
      </c>
      <c r="H185" s="11" t="s">
        <v>449</v>
      </c>
      <c r="I185" s="11" t="s">
        <v>142</v>
      </c>
      <c r="J185" s="11" t="s">
        <v>450</v>
      </c>
      <c r="K185" s="12">
        <v>87116090</v>
      </c>
      <c r="L185" s="19">
        <v>0.05</v>
      </c>
    </row>
    <row r="186" spans="5:12" ht="18" customHeight="1" x14ac:dyDescent="0.25">
      <c r="E186" s="38"/>
      <c r="F186" s="36" t="s">
        <v>451</v>
      </c>
      <c r="G186" s="11" t="s">
        <v>135</v>
      </c>
      <c r="H186" s="11" t="s">
        <v>449</v>
      </c>
      <c r="I186" s="11" t="s">
        <v>145</v>
      </c>
      <c r="J186" s="11" t="s">
        <v>452</v>
      </c>
      <c r="K186" s="12">
        <v>87116090</v>
      </c>
      <c r="L186" s="19">
        <v>0.05</v>
      </c>
    </row>
    <row r="187" spans="5:12" ht="18" customHeight="1" x14ac:dyDescent="0.25">
      <c r="E187" s="37"/>
      <c r="F187" s="36" t="s">
        <v>451</v>
      </c>
      <c r="G187" s="11" t="s">
        <v>135</v>
      </c>
      <c r="H187" s="11" t="s">
        <v>449</v>
      </c>
      <c r="I187" s="11" t="s">
        <v>148</v>
      </c>
      <c r="J187" s="11" t="s">
        <v>453</v>
      </c>
      <c r="K187" s="12">
        <v>87116090</v>
      </c>
      <c r="L187" s="19">
        <v>0.05</v>
      </c>
    </row>
    <row r="188" spans="5:12" ht="18" customHeight="1" x14ac:dyDescent="0.25">
      <c r="E188" s="37"/>
      <c r="F188" s="36" t="s">
        <v>454</v>
      </c>
      <c r="G188" s="11" t="s">
        <v>14</v>
      </c>
      <c r="H188" s="11" t="s">
        <v>60</v>
      </c>
      <c r="I188" s="11" t="s">
        <v>455</v>
      </c>
      <c r="J188" s="11" t="s">
        <v>456</v>
      </c>
      <c r="K188" s="12">
        <v>87149990</v>
      </c>
      <c r="L188" s="19">
        <v>0.18</v>
      </c>
    </row>
    <row r="189" spans="5:12" ht="18" customHeight="1" x14ac:dyDescent="0.25">
      <c r="E189" s="37"/>
      <c r="F189" s="36" t="s">
        <v>457</v>
      </c>
      <c r="G189" s="11" t="s">
        <v>14</v>
      </c>
      <c r="H189" s="11" t="s">
        <v>60</v>
      </c>
      <c r="I189" s="11" t="s">
        <v>150</v>
      </c>
      <c r="J189" s="11" t="s">
        <v>458</v>
      </c>
      <c r="K189" s="12">
        <v>87149990</v>
      </c>
      <c r="L189" s="19">
        <v>0.18</v>
      </c>
    </row>
    <row r="190" spans="5:12" ht="18" customHeight="1" x14ac:dyDescent="0.25">
      <c r="E190" s="37"/>
      <c r="F190" s="36" t="s">
        <v>457</v>
      </c>
      <c r="G190" s="11" t="s">
        <v>14</v>
      </c>
      <c r="H190" s="11" t="s">
        <v>60</v>
      </c>
      <c r="I190" s="11" t="s">
        <v>152</v>
      </c>
      <c r="J190" s="11" t="s">
        <v>459</v>
      </c>
      <c r="K190" s="12">
        <v>87149990</v>
      </c>
      <c r="L190" s="19">
        <v>0.18</v>
      </c>
    </row>
    <row r="191" spans="5:12" ht="18" customHeight="1" x14ac:dyDescent="0.25">
      <c r="E191" s="37"/>
      <c r="F191" s="36" t="s">
        <v>460</v>
      </c>
      <c r="G191" s="11" t="s">
        <v>14</v>
      </c>
      <c r="H191" s="11" t="s">
        <v>15</v>
      </c>
      <c r="I191" s="11" t="s">
        <v>154</v>
      </c>
      <c r="J191" s="11" t="s">
        <v>461</v>
      </c>
      <c r="K191" s="27">
        <v>84142010</v>
      </c>
      <c r="L191" s="34">
        <v>0.18</v>
      </c>
    </row>
    <row r="192" spans="5:12" ht="18" customHeight="1" x14ac:dyDescent="0.25">
      <c r="E192" s="37"/>
      <c r="F192" s="36" t="s">
        <v>462</v>
      </c>
      <c r="G192" s="11" t="s">
        <v>48</v>
      </c>
      <c r="H192" s="11" t="s">
        <v>403</v>
      </c>
      <c r="I192" s="11" t="s">
        <v>56</v>
      </c>
      <c r="J192" s="11" t="s">
        <v>57</v>
      </c>
      <c r="K192" s="12">
        <v>87116090</v>
      </c>
      <c r="L192" s="19">
        <v>0.05</v>
      </c>
    </row>
    <row r="193" spans="5:12" ht="18" customHeight="1" x14ac:dyDescent="0.25">
      <c r="E193" s="37"/>
      <c r="F193" s="36" t="s">
        <v>463</v>
      </c>
      <c r="G193" s="11" t="s">
        <v>48</v>
      </c>
      <c r="H193" s="11" t="s">
        <v>403</v>
      </c>
      <c r="I193" s="11" t="s">
        <v>50</v>
      </c>
      <c r="J193" s="11" t="s">
        <v>51</v>
      </c>
      <c r="K193" s="12">
        <v>87116090</v>
      </c>
      <c r="L193" s="19">
        <v>0.05</v>
      </c>
    </row>
    <row r="194" spans="5:12" ht="18" customHeight="1" x14ac:dyDescent="0.25">
      <c r="E194" s="37"/>
      <c r="F194" s="36" t="s">
        <v>464</v>
      </c>
      <c r="G194" s="11" t="s">
        <v>465</v>
      </c>
      <c r="H194" s="11" t="s">
        <v>403</v>
      </c>
      <c r="I194" s="11" t="s">
        <v>159</v>
      </c>
      <c r="J194" s="11" t="s">
        <v>466</v>
      </c>
      <c r="K194" s="12">
        <v>87116090</v>
      </c>
      <c r="L194" s="19">
        <v>0.05</v>
      </c>
    </row>
    <row r="195" spans="5:12" ht="18" customHeight="1" x14ac:dyDescent="0.25">
      <c r="E195" s="38"/>
      <c r="F195" s="36" t="s">
        <v>467</v>
      </c>
      <c r="G195" s="11" t="s">
        <v>14</v>
      </c>
      <c r="H195" s="11" t="s">
        <v>161</v>
      </c>
      <c r="I195" s="11" t="s">
        <v>162</v>
      </c>
      <c r="J195" s="11" t="s">
        <v>468</v>
      </c>
      <c r="K195" s="12">
        <v>87149990</v>
      </c>
      <c r="L195" s="19">
        <v>0.18</v>
      </c>
    </row>
    <row r="196" spans="5:12" ht="18" customHeight="1" x14ac:dyDescent="0.25">
      <c r="E196" s="38"/>
      <c r="F196" s="36" t="s">
        <v>469</v>
      </c>
      <c r="G196" s="11" t="s">
        <v>164</v>
      </c>
      <c r="H196" s="11" t="s">
        <v>470</v>
      </c>
      <c r="I196" s="11" t="s">
        <v>165</v>
      </c>
      <c r="J196" s="11" t="s">
        <v>471</v>
      </c>
      <c r="K196" s="12">
        <v>87116090</v>
      </c>
      <c r="L196" s="19">
        <v>0.05</v>
      </c>
    </row>
    <row r="197" spans="5:12" ht="18" customHeight="1" x14ac:dyDescent="0.25">
      <c r="E197" s="37"/>
      <c r="F197" s="36" t="s">
        <v>472</v>
      </c>
      <c r="G197" s="11" t="s">
        <v>164</v>
      </c>
      <c r="H197" s="11" t="s">
        <v>470</v>
      </c>
      <c r="I197" s="11" t="s">
        <v>167</v>
      </c>
      <c r="J197" s="11" t="s">
        <v>473</v>
      </c>
      <c r="K197" s="12">
        <v>87116090</v>
      </c>
      <c r="L197" s="19">
        <v>0.05</v>
      </c>
    </row>
    <row r="198" spans="5:12" ht="18" customHeight="1" x14ac:dyDescent="0.25">
      <c r="E198" s="38"/>
      <c r="F198" s="36" t="s">
        <v>474</v>
      </c>
      <c r="G198" s="11" t="s">
        <v>48</v>
      </c>
      <c r="H198" s="11" t="s">
        <v>475</v>
      </c>
      <c r="I198" s="11" t="s">
        <v>169</v>
      </c>
      <c r="J198" s="11" t="s">
        <v>170</v>
      </c>
      <c r="K198" s="12">
        <v>87116090</v>
      </c>
      <c r="L198" s="19">
        <v>0.05</v>
      </c>
    </row>
    <row r="199" spans="5:12" ht="18" customHeight="1" x14ac:dyDescent="0.25">
      <c r="E199" s="37"/>
      <c r="F199" s="36" t="s">
        <v>476</v>
      </c>
      <c r="G199" s="11" t="s">
        <v>48</v>
      </c>
      <c r="H199" s="11" t="s">
        <v>475</v>
      </c>
      <c r="I199" s="11" t="s">
        <v>172</v>
      </c>
      <c r="J199" s="11" t="s">
        <v>173</v>
      </c>
      <c r="K199" s="12">
        <v>87116090</v>
      </c>
      <c r="L199" s="19">
        <v>0.05</v>
      </c>
    </row>
    <row r="200" spans="5:12" ht="18" customHeight="1" x14ac:dyDescent="0.25">
      <c r="E200" s="38"/>
      <c r="F200" s="36" t="s">
        <v>476</v>
      </c>
      <c r="G200" s="11" t="s">
        <v>48</v>
      </c>
      <c r="H200" s="11" t="s">
        <v>475</v>
      </c>
      <c r="I200" s="11" t="s">
        <v>172</v>
      </c>
      <c r="J200" s="11" t="s">
        <v>173</v>
      </c>
      <c r="K200" s="12">
        <v>87116090</v>
      </c>
      <c r="L200" s="19">
        <v>0.05</v>
      </c>
    </row>
    <row r="201" spans="5:12" ht="18" customHeight="1" x14ac:dyDescent="0.25">
      <c r="E201" s="38"/>
      <c r="F201" s="36" t="s">
        <v>476</v>
      </c>
      <c r="G201" s="11" t="s">
        <v>48</v>
      </c>
      <c r="H201" s="11" t="s">
        <v>475</v>
      </c>
      <c r="I201" s="11" t="s">
        <v>172</v>
      </c>
      <c r="J201" s="11" t="s">
        <v>173</v>
      </c>
      <c r="K201" s="12">
        <v>87116090</v>
      </c>
      <c r="L201" s="19">
        <v>0.05</v>
      </c>
    </row>
    <row r="202" spans="5:12" ht="18" customHeight="1" x14ac:dyDescent="0.25">
      <c r="E202" s="38"/>
      <c r="F202" s="36" t="s">
        <v>476</v>
      </c>
      <c r="G202" s="11" t="s">
        <v>48</v>
      </c>
      <c r="H202" s="11" t="s">
        <v>418</v>
      </c>
      <c r="I202" s="11" t="s">
        <v>172</v>
      </c>
      <c r="J202" s="11" t="s">
        <v>173</v>
      </c>
      <c r="K202" s="12">
        <v>87116090</v>
      </c>
      <c r="L202" s="19">
        <v>0.05</v>
      </c>
    </row>
    <row r="203" spans="5:12" ht="18" customHeight="1" x14ac:dyDescent="0.25">
      <c r="E203" s="38"/>
      <c r="F203" s="36" t="s">
        <v>476</v>
      </c>
      <c r="G203" s="11" t="s">
        <v>48</v>
      </c>
      <c r="H203" s="11" t="s">
        <v>475</v>
      </c>
      <c r="I203" s="11" t="s">
        <v>172</v>
      </c>
      <c r="J203" s="11" t="s">
        <v>173</v>
      </c>
      <c r="K203" s="12">
        <v>87116090</v>
      </c>
      <c r="L203" s="19">
        <v>0.05</v>
      </c>
    </row>
    <row r="204" spans="5:12" ht="18" customHeight="1" x14ac:dyDescent="0.25">
      <c r="E204" s="38"/>
      <c r="F204" s="36" t="s">
        <v>477</v>
      </c>
      <c r="G204" s="11" t="s">
        <v>48</v>
      </c>
      <c r="H204" s="11" t="s">
        <v>475</v>
      </c>
      <c r="I204" s="11" t="s">
        <v>179</v>
      </c>
      <c r="J204" s="11" t="s">
        <v>180</v>
      </c>
      <c r="K204" s="12">
        <v>87116090</v>
      </c>
      <c r="L204" s="19">
        <v>0.05</v>
      </c>
    </row>
    <row r="205" spans="5:12" ht="18" customHeight="1" x14ac:dyDescent="0.25">
      <c r="E205" s="38"/>
      <c r="F205" s="36" t="s">
        <v>478</v>
      </c>
      <c r="G205" s="11" t="s">
        <v>48</v>
      </c>
      <c r="H205" s="11" t="s">
        <v>475</v>
      </c>
      <c r="I205" s="11" t="s">
        <v>182</v>
      </c>
      <c r="J205" s="11" t="s">
        <v>183</v>
      </c>
      <c r="K205" s="12">
        <v>87116090</v>
      </c>
      <c r="L205" s="19">
        <v>0.05</v>
      </c>
    </row>
    <row r="206" spans="5:12" ht="18" customHeight="1" x14ac:dyDescent="0.25">
      <c r="E206" s="38"/>
      <c r="F206" s="36" t="s">
        <v>479</v>
      </c>
      <c r="G206" s="11" t="s">
        <v>48</v>
      </c>
      <c r="H206" s="11" t="s">
        <v>475</v>
      </c>
      <c r="I206" s="11" t="s">
        <v>480</v>
      </c>
      <c r="J206" s="11" t="s">
        <v>186</v>
      </c>
      <c r="K206" s="12">
        <v>87116090</v>
      </c>
      <c r="L206" s="19">
        <v>0.05</v>
      </c>
    </row>
    <row r="207" spans="5:12" ht="18" customHeight="1" x14ac:dyDescent="0.25">
      <c r="E207" s="38"/>
      <c r="F207" s="36" t="s">
        <v>481</v>
      </c>
      <c r="G207" s="11" t="s">
        <v>48</v>
      </c>
      <c r="H207" s="11" t="s">
        <v>482</v>
      </c>
      <c r="I207" s="11" t="s">
        <v>188</v>
      </c>
      <c r="J207" s="11" t="s">
        <v>189</v>
      </c>
      <c r="K207" s="12">
        <v>87116090</v>
      </c>
      <c r="L207" s="19">
        <v>0.05</v>
      </c>
    </row>
    <row r="208" spans="5:12" ht="18" customHeight="1" x14ac:dyDescent="0.25">
      <c r="E208" s="38"/>
      <c r="F208" s="36" t="s">
        <v>481</v>
      </c>
      <c r="G208" s="11" t="s">
        <v>48</v>
      </c>
      <c r="H208" s="11" t="s">
        <v>482</v>
      </c>
      <c r="I208" s="11" t="s">
        <v>169</v>
      </c>
      <c r="J208" s="11" t="s">
        <v>170</v>
      </c>
      <c r="K208" s="12">
        <v>87116090</v>
      </c>
      <c r="L208" s="19">
        <v>0.05</v>
      </c>
    </row>
    <row r="209" spans="5:12" ht="18" customHeight="1" x14ac:dyDescent="0.25">
      <c r="E209" s="38"/>
      <c r="F209" s="36" t="s">
        <v>481</v>
      </c>
      <c r="G209" s="11" t="s">
        <v>48</v>
      </c>
      <c r="H209" s="11" t="s">
        <v>482</v>
      </c>
      <c r="I209" s="11" t="s">
        <v>169</v>
      </c>
      <c r="J209" s="11" t="s">
        <v>170</v>
      </c>
      <c r="K209" s="12">
        <v>87116090</v>
      </c>
      <c r="L209" s="19">
        <v>0.05</v>
      </c>
    </row>
    <row r="210" spans="5:12" ht="18" customHeight="1" x14ac:dyDescent="0.25">
      <c r="E210" s="37"/>
      <c r="F210" s="36" t="s">
        <v>481</v>
      </c>
      <c r="G210" s="11" t="s">
        <v>48</v>
      </c>
      <c r="H210" s="11" t="s">
        <v>482</v>
      </c>
      <c r="I210" s="11" t="s">
        <v>193</v>
      </c>
      <c r="J210" s="11" t="s">
        <v>194</v>
      </c>
      <c r="K210" s="12">
        <v>87116090</v>
      </c>
      <c r="L210" s="19">
        <v>0.05</v>
      </c>
    </row>
    <row r="211" spans="5:12" ht="18" customHeight="1" x14ac:dyDescent="0.25">
      <c r="E211" s="38"/>
      <c r="F211" s="36" t="s">
        <v>483</v>
      </c>
      <c r="G211" s="11" t="s">
        <v>48</v>
      </c>
      <c r="H211" s="11" t="s">
        <v>482</v>
      </c>
      <c r="I211" s="11" t="s">
        <v>484</v>
      </c>
      <c r="J211" s="11" t="s">
        <v>197</v>
      </c>
      <c r="K211" s="12">
        <v>87116090</v>
      </c>
      <c r="L211" s="19">
        <v>0.05</v>
      </c>
    </row>
    <row r="212" spans="5:12" ht="18" customHeight="1" x14ac:dyDescent="0.25">
      <c r="E212" s="37"/>
      <c r="F212" s="36" t="s">
        <v>483</v>
      </c>
      <c r="G212" s="11" t="s">
        <v>48</v>
      </c>
      <c r="H212" s="11" t="s">
        <v>482</v>
      </c>
      <c r="I212" s="11" t="s">
        <v>199</v>
      </c>
      <c r="J212" s="11" t="s">
        <v>200</v>
      </c>
      <c r="K212" s="12">
        <v>87116090</v>
      </c>
      <c r="L212" s="19">
        <v>0.05</v>
      </c>
    </row>
    <row r="213" spans="5:12" ht="18" customHeight="1" x14ac:dyDescent="0.25">
      <c r="E213" s="37"/>
      <c r="F213" s="36" t="s">
        <v>485</v>
      </c>
      <c r="G213" s="11" t="s">
        <v>48</v>
      </c>
      <c r="H213" s="11" t="s">
        <v>418</v>
      </c>
      <c r="I213" s="11" t="s">
        <v>202</v>
      </c>
      <c r="J213" s="11" t="s">
        <v>486</v>
      </c>
      <c r="K213" s="12">
        <v>87116090</v>
      </c>
      <c r="L213" s="19">
        <v>0.05</v>
      </c>
    </row>
    <row r="214" spans="5:12" ht="18" customHeight="1" x14ac:dyDescent="0.25">
      <c r="E214" s="38"/>
      <c r="F214" s="36" t="s">
        <v>487</v>
      </c>
      <c r="G214" s="11" t="s">
        <v>164</v>
      </c>
      <c r="H214" s="11" t="s">
        <v>488</v>
      </c>
      <c r="I214" s="11" t="s">
        <v>204</v>
      </c>
      <c r="J214" s="11" t="s">
        <v>205</v>
      </c>
      <c r="K214" s="12">
        <v>87116090</v>
      </c>
      <c r="L214" s="19">
        <v>0.05</v>
      </c>
    </row>
    <row r="215" spans="5:12" ht="18" customHeight="1" x14ac:dyDescent="0.25">
      <c r="E215" s="38"/>
      <c r="F215" s="36" t="s">
        <v>489</v>
      </c>
      <c r="G215" s="11" t="s">
        <v>164</v>
      </c>
      <c r="H215" s="11" t="s">
        <v>488</v>
      </c>
      <c r="I215" s="11" t="s">
        <v>207</v>
      </c>
      <c r="J215" s="11" t="s">
        <v>208</v>
      </c>
      <c r="K215" s="12">
        <v>87116090</v>
      </c>
      <c r="L215" s="19">
        <v>0.05</v>
      </c>
    </row>
    <row r="216" spans="5:12" ht="18" customHeight="1" x14ac:dyDescent="0.25">
      <c r="E216" s="38"/>
      <c r="F216" s="36" t="s">
        <v>489</v>
      </c>
      <c r="G216" s="11" t="s">
        <v>164</v>
      </c>
      <c r="H216" s="11" t="s">
        <v>488</v>
      </c>
      <c r="I216" s="11" t="s">
        <v>207</v>
      </c>
      <c r="J216" s="11" t="s">
        <v>208</v>
      </c>
      <c r="K216" s="12">
        <v>87116090</v>
      </c>
      <c r="L216" s="19">
        <v>0.05</v>
      </c>
    </row>
    <row r="217" spans="5:12" ht="18" customHeight="1" x14ac:dyDescent="0.2">
      <c r="E217" s="39"/>
      <c r="F217" s="36" t="s">
        <v>489</v>
      </c>
      <c r="G217" s="11" t="s">
        <v>164</v>
      </c>
      <c r="H217" s="11" t="s">
        <v>488</v>
      </c>
      <c r="I217" s="11" t="s">
        <v>211</v>
      </c>
      <c r="J217" s="11" t="s">
        <v>212</v>
      </c>
      <c r="K217" s="12">
        <v>87116090</v>
      </c>
      <c r="L217" s="19">
        <v>0.05</v>
      </c>
    </row>
    <row r="218" spans="5:12" ht="18" customHeight="1" x14ac:dyDescent="0.25">
      <c r="E218" s="38"/>
      <c r="F218" s="36" t="s">
        <v>489</v>
      </c>
      <c r="G218" s="11" t="s">
        <v>164</v>
      </c>
      <c r="H218" s="11" t="s">
        <v>488</v>
      </c>
      <c r="I218" s="11" t="s">
        <v>207</v>
      </c>
      <c r="J218" s="11" t="s">
        <v>208</v>
      </c>
      <c r="K218" s="12">
        <v>87116090</v>
      </c>
      <c r="L218" s="19">
        <v>0.05</v>
      </c>
    </row>
    <row r="219" spans="5:12" ht="18" customHeight="1" x14ac:dyDescent="0.25">
      <c r="E219" s="38"/>
      <c r="F219" s="36" t="s">
        <v>490</v>
      </c>
      <c r="G219" s="11" t="s">
        <v>164</v>
      </c>
      <c r="H219" s="11" t="s">
        <v>491</v>
      </c>
      <c r="I219" s="11" t="s">
        <v>215</v>
      </c>
      <c r="J219" s="11" t="s">
        <v>216</v>
      </c>
      <c r="K219" s="12">
        <v>87116090</v>
      </c>
      <c r="L219" s="19">
        <v>0.05</v>
      </c>
    </row>
    <row r="220" spans="5:12" ht="18" customHeight="1" x14ac:dyDescent="0.25">
      <c r="E220" s="38"/>
      <c r="F220" s="36" t="s">
        <v>492</v>
      </c>
      <c r="G220" s="11" t="s">
        <v>164</v>
      </c>
      <c r="H220" s="11" t="s">
        <v>491</v>
      </c>
      <c r="I220" s="11" t="s">
        <v>218</v>
      </c>
      <c r="J220" s="11" t="s">
        <v>219</v>
      </c>
      <c r="K220" s="12">
        <v>87116090</v>
      </c>
      <c r="L220" s="19">
        <v>0.05</v>
      </c>
    </row>
    <row r="221" spans="5:12" ht="18" customHeight="1" x14ac:dyDescent="0.2">
      <c r="E221" s="39"/>
      <c r="F221" s="36" t="s">
        <v>493</v>
      </c>
      <c r="G221" s="11" t="s">
        <v>164</v>
      </c>
      <c r="H221" s="11" t="s">
        <v>494</v>
      </c>
      <c r="I221" s="11" t="s">
        <v>221</v>
      </c>
      <c r="J221" s="11" t="s">
        <v>222</v>
      </c>
      <c r="K221" s="12">
        <v>87116090</v>
      </c>
      <c r="L221" s="19">
        <v>0.05</v>
      </c>
    </row>
    <row r="222" spans="5:12" ht="18" customHeight="1" x14ac:dyDescent="0.2">
      <c r="E222" s="39"/>
      <c r="F222" s="36" t="s">
        <v>495</v>
      </c>
      <c r="G222" s="11" t="s">
        <v>164</v>
      </c>
      <c r="H222" s="11" t="s">
        <v>494</v>
      </c>
      <c r="I222" s="11" t="s">
        <v>221</v>
      </c>
      <c r="J222" s="11" t="s">
        <v>222</v>
      </c>
      <c r="K222" s="12">
        <v>87116090</v>
      </c>
      <c r="L222" s="19">
        <v>0.05</v>
      </c>
    </row>
    <row r="223" spans="5:12" ht="18" customHeight="1" x14ac:dyDescent="0.25">
      <c r="E223" s="38"/>
      <c r="F223" s="36" t="s">
        <v>495</v>
      </c>
      <c r="G223" s="11" t="s">
        <v>164</v>
      </c>
      <c r="H223" s="11" t="s">
        <v>494</v>
      </c>
      <c r="I223" s="11" t="s">
        <v>221</v>
      </c>
      <c r="J223" s="11" t="s">
        <v>222</v>
      </c>
      <c r="K223" s="12">
        <v>87116090</v>
      </c>
      <c r="L223" s="19">
        <v>0.05</v>
      </c>
    </row>
    <row r="224" spans="5:12" ht="18" customHeight="1" x14ac:dyDescent="0.2">
      <c r="E224" s="39"/>
      <c r="F224" s="36" t="s">
        <v>495</v>
      </c>
      <c r="G224" s="11" t="s">
        <v>164</v>
      </c>
      <c r="H224" s="11" t="s">
        <v>494</v>
      </c>
      <c r="I224" s="11" t="s">
        <v>221</v>
      </c>
      <c r="J224" s="11" t="s">
        <v>222</v>
      </c>
      <c r="K224" s="12">
        <v>87116090</v>
      </c>
      <c r="L224" s="19">
        <v>0.05</v>
      </c>
    </row>
    <row r="225" spans="5:12" ht="18" customHeight="1" x14ac:dyDescent="0.25">
      <c r="E225" s="38"/>
      <c r="F225" s="36" t="s">
        <v>496</v>
      </c>
      <c r="G225" s="11" t="s">
        <v>14</v>
      </c>
      <c r="H225" s="11" t="s">
        <v>28</v>
      </c>
      <c r="I225" s="11" t="s">
        <v>227</v>
      </c>
      <c r="J225" s="11"/>
      <c r="K225" s="12">
        <v>65061090</v>
      </c>
      <c r="L225" s="19">
        <v>0.18</v>
      </c>
    </row>
    <row r="226" spans="5:12" ht="18" customHeight="1" x14ac:dyDescent="0.2">
      <c r="E226" s="39"/>
      <c r="F226" s="36" t="s">
        <v>497</v>
      </c>
      <c r="G226" s="11" t="s">
        <v>14</v>
      </c>
      <c r="H226" s="11" t="s">
        <v>28</v>
      </c>
      <c r="I226" s="11" t="s">
        <v>229</v>
      </c>
      <c r="J226" s="11" t="s">
        <v>230</v>
      </c>
      <c r="K226" s="12">
        <v>65061090</v>
      </c>
      <c r="L226" s="19">
        <v>0.18</v>
      </c>
    </row>
    <row r="227" spans="5:12" ht="18" customHeight="1" x14ac:dyDescent="0.2">
      <c r="E227" s="39"/>
      <c r="F227" s="36" t="s">
        <v>498</v>
      </c>
      <c r="G227" s="11" t="s">
        <v>232</v>
      </c>
      <c r="H227" s="11" t="s">
        <v>15</v>
      </c>
      <c r="I227" s="11" t="s">
        <v>233</v>
      </c>
      <c r="J227" s="11" t="s">
        <v>499</v>
      </c>
      <c r="K227" s="27">
        <v>84142010</v>
      </c>
      <c r="L227" s="34">
        <v>0.18</v>
      </c>
    </row>
    <row r="228" spans="5:12" ht="18" customHeight="1" x14ac:dyDescent="0.25">
      <c r="E228" s="38"/>
      <c r="F228" s="36" t="s">
        <v>500</v>
      </c>
      <c r="G228" s="11" t="s">
        <v>232</v>
      </c>
      <c r="H228" s="11" t="s">
        <v>15</v>
      </c>
      <c r="I228" s="11" t="s">
        <v>235</v>
      </c>
      <c r="J228" s="11" t="s">
        <v>501</v>
      </c>
      <c r="K228" s="27">
        <v>84142010</v>
      </c>
      <c r="L228" s="34">
        <v>0.18</v>
      </c>
    </row>
    <row r="229" spans="5:12" ht="18" customHeight="1" x14ac:dyDescent="0.2">
      <c r="E229" s="40"/>
      <c r="F229" s="36" t="s">
        <v>502</v>
      </c>
      <c r="G229" s="11" t="s">
        <v>232</v>
      </c>
      <c r="H229" s="11" t="s">
        <v>15</v>
      </c>
      <c r="I229" s="11" t="s">
        <v>237</v>
      </c>
      <c r="J229" s="11" t="s">
        <v>503</v>
      </c>
      <c r="K229" s="27">
        <v>84142010</v>
      </c>
      <c r="L229" s="34">
        <v>0.18</v>
      </c>
    </row>
    <row r="230" spans="5:12" ht="18" customHeight="1" x14ac:dyDescent="0.2">
      <c r="E230" s="40"/>
      <c r="F230" s="36" t="s">
        <v>504</v>
      </c>
      <c r="G230" s="11" t="s">
        <v>232</v>
      </c>
      <c r="H230" s="11" t="s">
        <v>15</v>
      </c>
      <c r="I230" s="11" t="s">
        <v>239</v>
      </c>
      <c r="J230" s="11" t="s">
        <v>505</v>
      </c>
      <c r="K230" s="27">
        <v>84142010</v>
      </c>
      <c r="L230" s="34">
        <v>0.18</v>
      </c>
    </row>
    <row r="231" spans="5:12" ht="18" customHeight="1" x14ac:dyDescent="0.2">
      <c r="E231" s="40"/>
      <c r="F231" s="36" t="s">
        <v>506</v>
      </c>
      <c r="G231" s="11" t="s">
        <v>232</v>
      </c>
      <c r="H231" s="11" t="s">
        <v>40</v>
      </c>
      <c r="I231" s="11" t="s">
        <v>241</v>
      </c>
      <c r="J231" s="11" t="s">
        <v>507</v>
      </c>
      <c r="K231" s="12">
        <v>83014090</v>
      </c>
      <c r="L231" s="19">
        <v>0.18</v>
      </c>
    </row>
    <row r="232" spans="5:12" ht="18" customHeight="1" x14ac:dyDescent="0.2">
      <c r="E232" s="40"/>
      <c r="F232" s="36" t="s">
        <v>508</v>
      </c>
      <c r="G232" s="11" t="s">
        <v>232</v>
      </c>
      <c r="H232" s="11" t="s">
        <v>28</v>
      </c>
      <c r="I232" s="11" t="s">
        <v>243</v>
      </c>
      <c r="J232" s="11" t="s">
        <v>509</v>
      </c>
      <c r="K232" s="12">
        <v>87149990</v>
      </c>
      <c r="L232" s="19">
        <v>0.18</v>
      </c>
    </row>
    <row r="233" spans="5:12" ht="18" customHeight="1" x14ac:dyDescent="0.2">
      <c r="E233" s="40"/>
      <c r="F233" s="36" t="s">
        <v>510</v>
      </c>
      <c r="G233" s="11" t="s">
        <v>232</v>
      </c>
      <c r="H233" s="11" t="s">
        <v>28</v>
      </c>
      <c r="I233" s="11" t="s">
        <v>245</v>
      </c>
      <c r="J233" s="11" t="s">
        <v>511</v>
      </c>
      <c r="K233" s="12">
        <v>65061090</v>
      </c>
      <c r="L233" s="19">
        <v>0.18</v>
      </c>
    </row>
    <row r="234" spans="5:12" ht="18" customHeight="1" x14ac:dyDescent="0.2">
      <c r="E234" s="40"/>
      <c r="F234" s="36" t="s">
        <v>510</v>
      </c>
      <c r="G234" s="11" t="s">
        <v>232</v>
      </c>
      <c r="H234" s="11" t="s">
        <v>28</v>
      </c>
      <c r="I234" s="11" t="s">
        <v>245</v>
      </c>
      <c r="J234" s="11" t="s">
        <v>511</v>
      </c>
      <c r="K234" s="12">
        <v>65061090</v>
      </c>
      <c r="L234" s="19">
        <v>0.18</v>
      </c>
    </row>
    <row r="235" spans="5:12" ht="18" customHeight="1" x14ac:dyDescent="0.2">
      <c r="E235" s="40"/>
      <c r="F235" s="36" t="s">
        <v>510</v>
      </c>
      <c r="G235" s="11" t="s">
        <v>232</v>
      </c>
      <c r="H235" s="11" t="s">
        <v>28</v>
      </c>
      <c r="I235" s="11" t="s">
        <v>245</v>
      </c>
      <c r="J235" s="11" t="s">
        <v>511</v>
      </c>
      <c r="K235" s="12">
        <v>65061090</v>
      </c>
      <c r="L235" s="19">
        <v>0.18</v>
      </c>
    </row>
    <row r="236" spans="5:12" ht="18" customHeight="1" x14ac:dyDescent="0.2">
      <c r="E236" s="40"/>
      <c r="F236" s="36" t="s">
        <v>512</v>
      </c>
      <c r="G236" s="11" t="s">
        <v>232</v>
      </c>
      <c r="H236" s="11" t="s">
        <v>28</v>
      </c>
      <c r="I236" s="11" t="s">
        <v>249</v>
      </c>
      <c r="J236" s="11" t="s">
        <v>513</v>
      </c>
      <c r="K236" s="12">
        <v>65061090</v>
      </c>
      <c r="L236" s="19">
        <v>0.18</v>
      </c>
    </row>
    <row r="237" spans="5:12" ht="18" customHeight="1" x14ac:dyDescent="0.2">
      <c r="E237" s="40"/>
      <c r="F237" s="36" t="s">
        <v>512</v>
      </c>
      <c r="G237" s="11" t="s">
        <v>232</v>
      </c>
      <c r="H237" s="11" t="s">
        <v>28</v>
      </c>
      <c r="I237" s="11" t="s">
        <v>249</v>
      </c>
      <c r="J237" s="11" t="s">
        <v>513</v>
      </c>
      <c r="K237" s="12">
        <v>65061090</v>
      </c>
      <c r="L237" s="19">
        <v>0.18</v>
      </c>
    </row>
    <row r="238" spans="5:12" ht="18" customHeight="1" x14ac:dyDescent="0.2">
      <c r="E238" s="40"/>
      <c r="F238" s="36" t="s">
        <v>512</v>
      </c>
      <c r="G238" s="11" t="s">
        <v>232</v>
      </c>
      <c r="H238" s="11" t="s">
        <v>28</v>
      </c>
      <c r="I238" s="11" t="s">
        <v>249</v>
      </c>
      <c r="J238" s="11" t="s">
        <v>513</v>
      </c>
      <c r="K238" s="12">
        <v>65061090</v>
      </c>
      <c r="L238" s="19">
        <v>0.18</v>
      </c>
    </row>
    <row r="239" spans="5:12" ht="18" customHeight="1" x14ac:dyDescent="0.2">
      <c r="E239" s="40"/>
      <c r="F239" s="36" t="s">
        <v>512</v>
      </c>
      <c r="G239" s="11" t="s">
        <v>232</v>
      </c>
      <c r="H239" s="11" t="s">
        <v>28</v>
      </c>
      <c r="I239" s="11" t="s">
        <v>253</v>
      </c>
      <c r="J239" s="11" t="s">
        <v>514</v>
      </c>
      <c r="K239" s="12">
        <v>65061090</v>
      </c>
      <c r="L239" s="19">
        <v>0.18</v>
      </c>
    </row>
    <row r="240" spans="5:12" ht="18" customHeight="1" x14ac:dyDescent="0.2">
      <c r="E240" s="40"/>
      <c r="F240" s="36" t="s">
        <v>515</v>
      </c>
      <c r="G240" s="11" t="s">
        <v>232</v>
      </c>
      <c r="H240" s="11" t="s">
        <v>28</v>
      </c>
      <c r="I240" s="11" t="s">
        <v>255</v>
      </c>
      <c r="J240" s="11" t="s">
        <v>516</v>
      </c>
      <c r="K240" s="12">
        <v>65061090</v>
      </c>
      <c r="L240" s="19">
        <v>0.18</v>
      </c>
    </row>
    <row r="241" spans="5:12" ht="18" customHeight="1" x14ac:dyDescent="0.2">
      <c r="E241" s="40"/>
      <c r="F241" s="36" t="s">
        <v>517</v>
      </c>
      <c r="G241" s="11" t="s">
        <v>232</v>
      </c>
      <c r="H241" s="11" t="s">
        <v>15</v>
      </c>
      <c r="I241" s="11" t="s">
        <v>257</v>
      </c>
      <c r="J241" s="11" t="s">
        <v>518</v>
      </c>
      <c r="K241" s="12">
        <v>84142010</v>
      </c>
      <c r="L241" s="31">
        <v>0.18</v>
      </c>
    </row>
    <row r="242" spans="5:12" ht="18" customHeight="1" x14ac:dyDescent="0.2">
      <c r="F242" s="11" t="s">
        <v>519</v>
      </c>
      <c r="G242" s="11" t="s">
        <v>232</v>
      </c>
      <c r="H242" s="11" t="s">
        <v>15</v>
      </c>
      <c r="I242" s="11" t="s">
        <v>259</v>
      </c>
      <c r="J242" s="11" t="s">
        <v>520</v>
      </c>
      <c r="K242" s="12">
        <v>84142010</v>
      </c>
      <c r="L242" s="31">
        <v>0.18</v>
      </c>
    </row>
    <row r="243" spans="5:12" ht="18" customHeight="1" x14ac:dyDescent="0.2">
      <c r="F243" s="11" t="s">
        <v>521</v>
      </c>
      <c r="G243" s="11" t="s">
        <v>232</v>
      </c>
      <c r="H243" s="11" t="s">
        <v>60</v>
      </c>
      <c r="I243" s="11" t="s">
        <v>522</v>
      </c>
      <c r="J243" s="11" t="s">
        <v>523</v>
      </c>
      <c r="K243" s="12">
        <v>87149990</v>
      </c>
      <c r="L243" s="19">
        <v>0.18</v>
      </c>
    </row>
    <row r="244" spans="5:12" ht="18" customHeight="1" x14ac:dyDescent="0.2">
      <c r="F244" s="11" t="s">
        <v>524</v>
      </c>
      <c r="G244" s="11" t="s">
        <v>232</v>
      </c>
      <c r="H244" s="11" t="s">
        <v>60</v>
      </c>
      <c r="I244" s="11" t="s">
        <v>261</v>
      </c>
      <c r="J244" s="11" t="s">
        <v>525</v>
      </c>
      <c r="K244" s="12">
        <v>87149990</v>
      </c>
      <c r="L244" s="19">
        <v>0.18</v>
      </c>
    </row>
    <row r="245" spans="5:12" ht="18" customHeight="1" x14ac:dyDescent="0.2">
      <c r="F245" s="11" t="s">
        <v>526</v>
      </c>
      <c r="G245" s="11" t="s">
        <v>232</v>
      </c>
      <c r="H245" s="11" t="s">
        <v>28</v>
      </c>
      <c r="I245" s="11" t="s">
        <v>263</v>
      </c>
      <c r="J245" s="11" t="s">
        <v>264</v>
      </c>
      <c r="K245" s="12">
        <v>65061090</v>
      </c>
      <c r="L245" s="19">
        <v>0.18</v>
      </c>
    </row>
    <row r="246" spans="5:12" ht="18" customHeight="1" x14ac:dyDescent="0.2">
      <c r="F246" s="11" t="s">
        <v>527</v>
      </c>
      <c r="G246" s="11" t="s">
        <v>232</v>
      </c>
      <c r="H246" s="11" t="s">
        <v>40</v>
      </c>
      <c r="I246" s="11" t="s">
        <v>266</v>
      </c>
      <c r="J246" s="11" t="s">
        <v>528</v>
      </c>
      <c r="K246" s="12">
        <v>83014090</v>
      </c>
      <c r="L246" s="19">
        <v>0.18</v>
      </c>
    </row>
    <row r="247" spans="5:12" ht="18" customHeight="1" x14ac:dyDescent="0.2">
      <c r="F247" s="11" t="s">
        <v>529</v>
      </c>
      <c r="G247" s="11" t="s">
        <v>232</v>
      </c>
      <c r="H247" s="11" t="s">
        <v>28</v>
      </c>
      <c r="I247" s="11" t="s">
        <v>268</v>
      </c>
      <c r="J247" s="11" t="s">
        <v>269</v>
      </c>
      <c r="K247" s="12">
        <v>65061090</v>
      </c>
      <c r="L247" s="19">
        <v>0.18</v>
      </c>
    </row>
    <row r="248" spans="5:12" ht="18" customHeight="1" x14ac:dyDescent="0.2">
      <c r="F248" s="11" t="s">
        <v>530</v>
      </c>
      <c r="G248" s="11" t="s">
        <v>232</v>
      </c>
      <c r="H248" s="11" t="s">
        <v>28</v>
      </c>
      <c r="I248" s="11" t="s">
        <v>271</v>
      </c>
      <c r="J248" s="11" t="s">
        <v>531</v>
      </c>
      <c r="K248" s="12">
        <v>65061090</v>
      </c>
      <c r="L248" s="19">
        <v>0.18</v>
      </c>
    </row>
    <row r="249" spans="5:12" ht="18" customHeight="1" x14ac:dyDescent="0.2">
      <c r="F249" s="11" t="s">
        <v>532</v>
      </c>
      <c r="G249" s="11" t="s">
        <v>232</v>
      </c>
      <c r="H249" s="11" t="s">
        <v>28</v>
      </c>
      <c r="I249" s="11" t="s">
        <v>273</v>
      </c>
      <c r="J249" s="11" t="s">
        <v>533</v>
      </c>
      <c r="K249" s="12">
        <v>65061090</v>
      </c>
      <c r="L249" s="19">
        <v>0.18</v>
      </c>
    </row>
    <row r="250" spans="5:12" ht="18" customHeight="1" x14ac:dyDescent="0.2">
      <c r="F250" s="11" t="s">
        <v>532</v>
      </c>
      <c r="G250" s="11" t="s">
        <v>232</v>
      </c>
      <c r="H250" s="11" t="s">
        <v>28</v>
      </c>
      <c r="I250" s="11" t="s">
        <v>275</v>
      </c>
      <c r="J250" s="11" t="s">
        <v>534</v>
      </c>
      <c r="K250" s="12">
        <v>65061090</v>
      </c>
      <c r="L250" s="19">
        <v>0.18</v>
      </c>
    </row>
    <row r="251" spans="5:12" ht="18" customHeight="1" x14ac:dyDescent="0.2">
      <c r="F251" s="11" t="s">
        <v>535</v>
      </c>
      <c r="G251" s="11" t="s">
        <v>232</v>
      </c>
      <c r="H251" s="11" t="s">
        <v>28</v>
      </c>
      <c r="I251" s="11" t="s">
        <v>277</v>
      </c>
      <c r="J251" s="11" t="s">
        <v>536</v>
      </c>
      <c r="K251" s="12">
        <v>65061090</v>
      </c>
      <c r="L251" s="19">
        <v>0.18</v>
      </c>
    </row>
    <row r="252" spans="5:12" ht="18" customHeight="1" x14ac:dyDescent="0.2">
      <c r="F252" s="11" t="s">
        <v>535</v>
      </c>
      <c r="G252" s="11" t="s">
        <v>232</v>
      </c>
      <c r="H252" s="11" t="s">
        <v>28</v>
      </c>
      <c r="I252" s="11" t="s">
        <v>280</v>
      </c>
      <c r="J252" s="11" t="s">
        <v>537</v>
      </c>
      <c r="K252" s="12">
        <v>65061090</v>
      </c>
      <c r="L252" s="19">
        <v>0.18</v>
      </c>
    </row>
    <row r="253" spans="5:12" ht="18" customHeight="1" x14ac:dyDescent="0.2">
      <c r="F253" s="11" t="s">
        <v>538</v>
      </c>
      <c r="G253" s="11" t="s">
        <v>232</v>
      </c>
      <c r="H253" s="11" t="s">
        <v>28</v>
      </c>
      <c r="I253" s="11" t="s">
        <v>273</v>
      </c>
      <c r="J253" s="11" t="s">
        <v>533</v>
      </c>
      <c r="K253" s="12">
        <v>65061090</v>
      </c>
      <c r="L253" s="19">
        <v>0.18</v>
      </c>
    </row>
    <row r="254" spans="5:12" ht="18" customHeight="1" x14ac:dyDescent="0.2">
      <c r="F254" s="11" t="s">
        <v>538</v>
      </c>
      <c r="G254" s="11" t="s">
        <v>232</v>
      </c>
      <c r="H254" s="11" t="s">
        <v>28</v>
      </c>
      <c r="I254" s="11" t="s">
        <v>280</v>
      </c>
      <c r="J254" s="11" t="s">
        <v>537</v>
      </c>
      <c r="K254" s="12">
        <v>65061090</v>
      </c>
      <c r="L254" s="19">
        <v>0.18</v>
      </c>
    </row>
    <row r="255" spans="5:12" ht="18" customHeight="1" x14ac:dyDescent="0.2">
      <c r="F255" s="11" t="s">
        <v>539</v>
      </c>
      <c r="G255" s="11" t="s">
        <v>232</v>
      </c>
      <c r="H255" s="11" t="s">
        <v>40</v>
      </c>
      <c r="I255" s="11" t="s">
        <v>284</v>
      </c>
      <c r="J255" s="11" t="s">
        <v>540</v>
      </c>
      <c r="K255" s="12">
        <v>83014090</v>
      </c>
      <c r="L255" s="19">
        <v>0.18</v>
      </c>
    </row>
    <row r="256" spans="5:12" ht="18" customHeight="1" x14ac:dyDescent="0.2">
      <c r="F256" s="11" t="s">
        <v>539</v>
      </c>
      <c r="G256" s="11" t="s">
        <v>232</v>
      </c>
      <c r="H256" s="11" t="s">
        <v>40</v>
      </c>
      <c r="I256" s="11" t="s">
        <v>284</v>
      </c>
      <c r="J256" s="11" t="s">
        <v>540</v>
      </c>
      <c r="K256" s="12">
        <v>83014090</v>
      </c>
      <c r="L256" s="19">
        <v>0.18</v>
      </c>
    </row>
    <row r="257" spans="6:12" ht="18" customHeight="1" x14ac:dyDescent="0.2">
      <c r="F257" s="11" t="s">
        <v>541</v>
      </c>
      <c r="G257" s="11" t="s">
        <v>232</v>
      </c>
      <c r="H257" s="11" t="s">
        <v>60</v>
      </c>
      <c r="I257" s="11" t="s">
        <v>287</v>
      </c>
      <c r="J257" s="11" t="s">
        <v>542</v>
      </c>
      <c r="K257" s="12">
        <v>87149990</v>
      </c>
      <c r="L257" s="19">
        <v>0.18</v>
      </c>
    </row>
    <row r="258" spans="6:12" ht="18" customHeight="1" x14ac:dyDescent="0.2">
      <c r="F258" s="11" t="s">
        <v>543</v>
      </c>
      <c r="G258" s="11" t="s">
        <v>232</v>
      </c>
      <c r="H258" s="11" t="s">
        <v>28</v>
      </c>
      <c r="I258" s="11" t="s">
        <v>544</v>
      </c>
      <c r="J258" s="11" t="s">
        <v>290</v>
      </c>
      <c r="K258" s="12">
        <v>65061090</v>
      </c>
      <c r="L258" s="19">
        <v>0.18</v>
      </c>
    </row>
    <row r="259" spans="6:12" ht="18" customHeight="1" x14ac:dyDescent="0.2">
      <c r="F259" s="11" t="s">
        <v>545</v>
      </c>
      <c r="G259" s="11" t="s">
        <v>232</v>
      </c>
      <c r="H259" s="11" t="s">
        <v>28</v>
      </c>
      <c r="I259" s="11" t="s">
        <v>292</v>
      </c>
      <c r="J259" s="11" t="s">
        <v>546</v>
      </c>
      <c r="K259" s="12">
        <v>65061090</v>
      </c>
      <c r="L259" s="19">
        <v>0.18</v>
      </c>
    </row>
    <row r="260" spans="6:12" ht="18" customHeight="1" x14ac:dyDescent="0.2">
      <c r="F260" s="28" t="s">
        <v>547</v>
      </c>
      <c r="G260" s="11" t="s">
        <v>14</v>
      </c>
      <c r="H260" s="11" t="s">
        <v>60</v>
      </c>
      <c r="I260" s="11" t="s">
        <v>294</v>
      </c>
      <c r="J260" s="11" t="s">
        <v>295</v>
      </c>
      <c r="K260" s="12">
        <v>87149990</v>
      </c>
      <c r="L260" s="19">
        <v>0.18</v>
      </c>
    </row>
    <row r="261" spans="6:12" ht="18" customHeight="1" x14ac:dyDescent="0.2">
      <c r="F261" s="28" t="s">
        <v>548</v>
      </c>
      <c r="G261" s="11" t="s">
        <v>14</v>
      </c>
      <c r="H261" s="11" t="s">
        <v>297</v>
      </c>
      <c r="I261" s="11" t="s">
        <v>298</v>
      </c>
      <c r="J261" s="11" t="s">
        <v>308</v>
      </c>
      <c r="K261" s="12">
        <v>87149990</v>
      </c>
      <c r="L261" s="19">
        <v>0.18</v>
      </c>
    </row>
    <row r="262" spans="6:12" ht="18" customHeight="1" x14ac:dyDescent="0.2">
      <c r="F262" s="28" t="s">
        <v>549</v>
      </c>
      <c r="G262" s="11" t="s">
        <v>14</v>
      </c>
      <c r="H262" s="11" t="s">
        <v>297</v>
      </c>
      <c r="I262" s="11" t="s">
        <v>300</v>
      </c>
      <c r="J262" s="11" t="s">
        <v>550</v>
      </c>
      <c r="K262" s="12">
        <v>87149990</v>
      </c>
      <c r="L262" s="19">
        <v>0.18</v>
      </c>
    </row>
    <row r="263" spans="6:12" ht="18" customHeight="1" x14ac:dyDescent="0.2">
      <c r="F263" s="28" t="s">
        <v>549</v>
      </c>
      <c r="G263" s="11" t="s">
        <v>14</v>
      </c>
      <c r="H263" s="11" t="s">
        <v>297</v>
      </c>
      <c r="I263" s="11" t="s">
        <v>300</v>
      </c>
      <c r="J263" s="11" t="s">
        <v>550</v>
      </c>
      <c r="K263" s="12">
        <v>87149990</v>
      </c>
      <c r="L263" s="19">
        <v>0.18</v>
      </c>
    </row>
    <row r="264" spans="6:12" ht="18" customHeight="1" x14ac:dyDescent="0.2">
      <c r="F264" s="28" t="s">
        <v>551</v>
      </c>
      <c r="G264" s="11" t="s">
        <v>14</v>
      </c>
      <c r="H264" s="11" t="s">
        <v>303</v>
      </c>
      <c r="I264" s="41" t="s">
        <v>304</v>
      </c>
      <c r="J264" s="11" t="s">
        <v>305</v>
      </c>
      <c r="K264" s="29">
        <v>87149990</v>
      </c>
      <c r="L264" s="34">
        <v>0.18</v>
      </c>
    </row>
    <row r="265" spans="6:12" ht="18" customHeight="1" x14ac:dyDescent="0.2">
      <c r="F265" s="28" t="s">
        <v>548</v>
      </c>
      <c r="G265" s="11" t="s">
        <v>14</v>
      </c>
      <c r="H265" s="11" t="s">
        <v>297</v>
      </c>
      <c r="I265" s="11" t="s">
        <v>298</v>
      </c>
      <c r="J265" s="11" t="s">
        <v>308</v>
      </c>
      <c r="K265" s="12">
        <v>87149990</v>
      </c>
      <c r="L265" s="19">
        <v>0.18</v>
      </c>
    </row>
    <row r="266" spans="6:12" ht="18" customHeight="1" x14ac:dyDescent="0.2">
      <c r="F266" s="28" t="s">
        <v>552</v>
      </c>
      <c r="G266" s="11" t="s">
        <v>14</v>
      </c>
      <c r="H266" s="11" t="s">
        <v>60</v>
      </c>
      <c r="I266" s="11" t="s">
        <v>310</v>
      </c>
      <c r="J266" s="11" t="s">
        <v>553</v>
      </c>
      <c r="K266" s="12">
        <v>87149990</v>
      </c>
      <c r="L266" s="19">
        <v>0.18</v>
      </c>
    </row>
    <row r="267" spans="6:12" ht="18" customHeight="1" x14ac:dyDescent="0.2">
      <c r="F267" s="28" t="s">
        <v>554</v>
      </c>
      <c r="G267" s="11" t="s">
        <v>14</v>
      </c>
      <c r="H267" s="11" t="s">
        <v>60</v>
      </c>
      <c r="I267" s="11" t="s">
        <v>312</v>
      </c>
      <c r="J267" s="11" t="s">
        <v>555</v>
      </c>
      <c r="K267" s="12">
        <v>87149990</v>
      </c>
      <c r="L267" s="19">
        <v>0.18</v>
      </c>
    </row>
    <row r="268" spans="6:12" ht="18" customHeight="1" x14ac:dyDescent="0.2">
      <c r="F268" s="28" t="s">
        <v>556</v>
      </c>
      <c r="G268" s="11" t="s">
        <v>14</v>
      </c>
      <c r="H268" s="11" t="s">
        <v>297</v>
      </c>
      <c r="I268" s="11" t="s">
        <v>314</v>
      </c>
      <c r="J268" s="11" t="s">
        <v>557</v>
      </c>
      <c r="K268" s="12">
        <v>87149990</v>
      </c>
      <c r="L268" s="19">
        <v>0.18</v>
      </c>
    </row>
    <row r="269" spans="6:12" ht="18" customHeight="1" x14ac:dyDescent="0.2">
      <c r="F269" s="28" t="s">
        <v>558</v>
      </c>
      <c r="G269" s="11" t="s">
        <v>14</v>
      </c>
      <c r="H269" s="11" t="s">
        <v>40</v>
      </c>
      <c r="I269" s="11" t="s">
        <v>316</v>
      </c>
      <c r="J269" s="11" t="s">
        <v>559</v>
      </c>
      <c r="K269" s="12">
        <v>83014090</v>
      </c>
      <c r="L269" s="19">
        <v>0.18</v>
      </c>
    </row>
    <row r="270" spans="6:12" ht="18" customHeight="1" x14ac:dyDescent="0.2">
      <c r="F270" s="28" t="s">
        <v>560</v>
      </c>
      <c r="G270" s="11" t="s">
        <v>232</v>
      </c>
      <c r="H270" s="11" t="s">
        <v>368</v>
      </c>
      <c r="I270" s="11" t="s">
        <v>369</v>
      </c>
      <c r="J270" s="11" t="s">
        <v>370</v>
      </c>
      <c r="K270" s="12">
        <v>42029900</v>
      </c>
      <c r="L270" s="19">
        <v>0.18</v>
      </c>
    </row>
    <row r="271" spans="6:12" ht="18" customHeight="1" x14ac:dyDescent="0.2">
      <c r="F271" s="28" t="s">
        <v>561</v>
      </c>
      <c r="G271" s="11" t="s">
        <v>48</v>
      </c>
      <c r="H271" s="11" t="s">
        <v>562</v>
      </c>
      <c r="I271" s="11" t="s">
        <v>376</v>
      </c>
      <c r="J271" s="11" t="s">
        <v>377</v>
      </c>
      <c r="K271" s="12">
        <v>87116090</v>
      </c>
      <c r="L271" s="19">
        <v>0.05</v>
      </c>
    </row>
    <row r="272" spans="6:12" ht="18" customHeight="1" x14ac:dyDescent="0.2">
      <c r="F272" s="28" t="s">
        <v>563</v>
      </c>
      <c r="G272" s="11" t="s">
        <v>48</v>
      </c>
      <c r="H272" s="11" t="s">
        <v>562</v>
      </c>
      <c r="I272" s="11" t="s">
        <v>379</v>
      </c>
      <c r="J272" s="11" t="s">
        <v>380</v>
      </c>
      <c r="K272" s="12">
        <v>87116090</v>
      </c>
      <c r="L272" s="19">
        <v>0.05</v>
      </c>
    </row>
    <row r="273" spans="6:12" ht="18" customHeight="1" x14ac:dyDescent="0.2">
      <c r="F273" s="28" t="s">
        <v>564</v>
      </c>
      <c r="G273" s="11" t="s">
        <v>14</v>
      </c>
      <c r="H273" s="11" t="s">
        <v>565</v>
      </c>
      <c r="I273" s="11" t="s">
        <v>77</v>
      </c>
      <c r="J273" s="11" t="s">
        <v>566</v>
      </c>
      <c r="K273" s="12">
        <v>87149990</v>
      </c>
      <c r="L273" s="19">
        <v>0.18</v>
      </c>
    </row>
    <row r="274" spans="6:12" ht="18" customHeight="1" x14ac:dyDescent="0.2">
      <c r="F274" s="28" t="s">
        <v>567</v>
      </c>
      <c r="G274" s="11" t="s">
        <v>232</v>
      </c>
      <c r="H274" s="11" t="s">
        <v>40</v>
      </c>
      <c r="I274" s="11" t="s">
        <v>568</v>
      </c>
      <c r="J274" s="11" t="s">
        <v>569</v>
      </c>
      <c r="K274" s="12">
        <v>83014090</v>
      </c>
      <c r="L274" s="19">
        <v>0.18</v>
      </c>
    </row>
    <row r="275" spans="6:12" ht="18" customHeight="1" x14ac:dyDescent="0.2">
      <c r="F275" s="28" t="s">
        <v>570</v>
      </c>
      <c r="G275" s="11" t="s">
        <v>14</v>
      </c>
      <c r="H275" s="11" t="s">
        <v>40</v>
      </c>
      <c r="I275" s="11" t="s">
        <v>107</v>
      </c>
      <c r="J275" s="11" t="s">
        <v>431</v>
      </c>
      <c r="K275" s="12">
        <v>83014090</v>
      </c>
      <c r="L275" s="19">
        <v>0.18</v>
      </c>
    </row>
    <row r="276" spans="6:12" ht="18" customHeight="1" x14ac:dyDescent="0.2">
      <c r="F276" s="28" t="s">
        <v>571</v>
      </c>
      <c r="G276" s="11" t="s">
        <v>48</v>
      </c>
      <c r="H276" s="11" t="s">
        <v>440</v>
      </c>
      <c r="I276" s="11" t="s">
        <v>127</v>
      </c>
      <c r="J276" s="11" t="s">
        <v>128</v>
      </c>
      <c r="K276" s="12">
        <v>87116090</v>
      </c>
      <c r="L276" s="19">
        <v>0.05</v>
      </c>
    </row>
    <row r="277" spans="6:12" ht="18" customHeight="1" x14ac:dyDescent="0.2">
      <c r="F277" s="42" t="s">
        <v>572</v>
      </c>
      <c r="G277" s="11" t="s">
        <v>14</v>
      </c>
      <c r="H277" s="42" t="s">
        <v>303</v>
      </c>
      <c r="I277" s="42" t="s">
        <v>573</v>
      </c>
      <c r="J277" s="42" t="s">
        <v>574</v>
      </c>
      <c r="K277" s="29">
        <v>87149990</v>
      </c>
      <c r="L277" s="34">
        <v>0.18</v>
      </c>
    </row>
    <row r="278" spans="6:12" ht="18" customHeight="1" x14ac:dyDescent="0.2">
      <c r="F278" s="7"/>
      <c r="G278" s="11" t="s">
        <v>14</v>
      </c>
      <c r="H278" s="42" t="s">
        <v>303</v>
      </c>
      <c r="I278" s="7" t="s">
        <v>575</v>
      </c>
      <c r="J278" s="7"/>
      <c r="K278" s="29">
        <v>87149990</v>
      </c>
      <c r="L278" s="34">
        <v>0.18</v>
      </c>
    </row>
    <row r="279" spans="6:12" ht="18" customHeight="1" x14ac:dyDescent="0.2">
      <c r="F279" s="7"/>
      <c r="G279" s="11" t="s">
        <v>14</v>
      </c>
      <c r="H279" s="42" t="s">
        <v>303</v>
      </c>
      <c r="I279" s="7" t="s">
        <v>576</v>
      </c>
      <c r="J279" s="7"/>
      <c r="K279" s="29">
        <v>87149990</v>
      </c>
      <c r="L279" s="34">
        <v>0.18</v>
      </c>
    </row>
  </sheetData>
  <conditionalFormatting sqref="F2:F144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2025-09-21T13:43:49Z</dcterms:created>
  <dcterms:modified xsi:type="dcterms:W3CDTF">2025-09-21T13:44:08Z</dcterms:modified>
</cp:coreProperties>
</file>