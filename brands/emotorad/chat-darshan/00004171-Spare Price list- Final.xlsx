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1" sheetId="1" r:id="rId4"/>
    <sheet state="visible" name="T-Rex+" sheetId="2" r:id="rId5"/>
    <sheet state="visible" name="Battery " sheetId="3" r:id="rId6"/>
    <sheet state="visible" name="X2" sheetId="4" r:id="rId7"/>
    <sheet state="visible" name="EMX" sheetId="5" r:id="rId8"/>
    <sheet state="visible" name="Head Lights" sheetId="6" r:id="rId9"/>
  </sheets>
  <definedNames/>
  <calcPr/>
  <extLst>
    <ext uri="GoogleSheetsCustomDataVersion2">
      <go:sheetsCustomData xmlns:go="http://customooxmlschemas.google.com/" r:id="rId10" roundtripDataChecksum="CzF8eHldrHT7x8lJrtgyXj1OFc8Ca4/HWkKSNBpgUtk="/>
    </ext>
  </extLst>
</workbook>
</file>

<file path=xl/sharedStrings.xml><?xml version="1.0" encoding="utf-8"?>
<sst xmlns="http://schemas.openxmlformats.org/spreadsheetml/2006/main" count="425" uniqueCount="215">
  <si>
    <t>Sr.No</t>
  </si>
  <si>
    <t>Component</t>
  </si>
  <si>
    <t xml:space="preserve">Internal Part Number </t>
  </si>
  <si>
    <t>Part Type</t>
  </si>
  <si>
    <t>DP non GST</t>
  </si>
  <si>
    <t>Cust. Price (Non GST)</t>
  </si>
  <si>
    <t>GST %</t>
  </si>
  <si>
    <t>Cust. (Inc GST)</t>
  </si>
  <si>
    <t>Dealer Price</t>
  </si>
  <si>
    <t>% margin</t>
  </si>
  <si>
    <t>MRP</t>
  </si>
  <si>
    <t>Headset</t>
  </si>
  <si>
    <t>300000-EM01-A100</t>
  </si>
  <si>
    <t>Mechanical</t>
  </si>
  <si>
    <t>Handlebar</t>
  </si>
  <si>
    <t>330000-EM01-A100</t>
  </si>
  <si>
    <t>Handle stem</t>
  </si>
  <si>
    <t>320000-EM01-A100</t>
  </si>
  <si>
    <t>Front Hub</t>
  </si>
  <si>
    <t>600001-EM01-A100</t>
  </si>
  <si>
    <t>Tube</t>
  </si>
  <si>
    <t>600007-EM01-A100</t>
  </si>
  <si>
    <t>Tyre</t>
  </si>
  <si>
    <t>600008-EM01-A100</t>
  </si>
  <si>
    <t>Bottom Bracket</t>
  </si>
  <si>
    <t>470000-EM01-A100</t>
  </si>
  <si>
    <t>Crank Set</t>
  </si>
  <si>
    <t>460000-EM01-A100</t>
  </si>
  <si>
    <t>Pedal set</t>
  </si>
  <si>
    <t>411000-EM01-A100</t>
  </si>
  <si>
    <t>Freewheel</t>
  </si>
  <si>
    <t>480000-EM01-A100</t>
  </si>
  <si>
    <t>Chain</t>
  </si>
  <si>
    <t>490000-EM01-A100</t>
  </si>
  <si>
    <t>Kickstand</t>
  </si>
  <si>
    <t>170000-EM01-A100</t>
  </si>
  <si>
    <t>Front Brake Calliper &amp; Disk</t>
  </si>
  <si>
    <t>200000-M042-A100/240000-EM01-A100</t>
  </si>
  <si>
    <t>Rear Brake Calliper &amp; Disk</t>
  </si>
  <si>
    <t>210000-M042-A100/240000-EM01-A100</t>
  </si>
  <si>
    <t>Front Fork</t>
  </si>
  <si>
    <t>140000-EM02-A100</t>
  </si>
  <si>
    <t>Rear Motor</t>
  </si>
  <si>
    <t>511000-EM01-A100</t>
  </si>
  <si>
    <t xml:space="preserve">Electrical </t>
  </si>
  <si>
    <t>Controller</t>
  </si>
  <si>
    <t>550000-EM02-A100</t>
  </si>
  <si>
    <t>Battery 7.65 aH</t>
  </si>
  <si>
    <t>570000-EM01-A100</t>
  </si>
  <si>
    <t>Half Throttle with Lock</t>
  </si>
  <si>
    <t>500000-EM02-A100</t>
  </si>
  <si>
    <t xml:space="preserve">Brake Leaver Left </t>
  </si>
  <si>
    <t>520000-EM01-A100</t>
  </si>
  <si>
    <t xml:space="preserve">Brake Leaver Right </t>
  </si>
  <si>
    <t>530000-EM01-A100</t>
  </si>
  <si>
    <t>Pedal Assist Sensor</t>
  </si>
  <si>
    <t>590000-EM01-A100</t>
  </si>
  <si>
    <t>Horn Button and Light waterproof Harness</t>
  </si>
  <si>
    <t>517000-EM01-A100/518000-EM01-A100</t>
  </si>
  <si>
    <t>Brake pads</t>
  </si>
  <si>
    <t>250000-M042-A100</t>
  </si>
  <si>
    <t>S.No.</t>
  </si>
  <si>
    <t>Part Description</t>
  </si>
  <si>
    <t>DP ( w/o GST)</t>
  </si>
  <si>
    <t>CP ( W/O GST)</t>
  </si>
  <si>
    <t>470000-M006-A100</t>
  </si>
  <si>
    <t xml:space="preserve">Mechanical </t>
  </si>
  <si>
    <t>300000-M042-A100</t>
  </si>
  <si>
    <t>Brake Disc</t>
  </si>
  <si>
    <t>240000-M042-A100</t>
  </si>
  <si>
    <t>Front Brake Caliper Assy Square</t>
  </si>
  <si>
    <t>200000-M042-A100</t>
  </si>
  <si>
    <t>Rear Brake Caliper Assy Square</t>
  </si>
  <si>
    <t>210000-M042-A100</t>
  </si>
  <si>
    <t>Brake Pad Round</t>
  </si>
  <si>
    <t>TM006031010</t>
  </si>
  <si>
    <t>Brake pad Square</t>
  </si>
  <si>
    <t>Crank T-42 P</t>
  </si>
  <si>
    <t>460000-M006-A100</t>
  </si>
  <si>
    <t>Freewheel 7 Speed</t>
  </si>
  <si>
    <t>480000-M042-A100</t>
  </si>
  <si>
    <t>490000-M006-A100</t>
  </si>
  <si>
    <t>Rear Derailleur - Tourney</t>
  </si>
  <si>
    <t>400000-M006-A100</t>
  </si>
  <si>
    <t>Rear Derailleur Hanger</t>
  </si>
  <si>
    <t>110000-M042-A100</t>
  </si>
  <si>
    <t>Rear Derailleur Guard</t>
  </si>
  <si>
    <t>412000-M042-A100</t>
  </si>
  <si>
    <t>7 Speed Shifter</t>
  </si>
  <si>
    <t>420000-M042-A100</t>
  </si>
  <si>
    <t>Fork 27.5 Inch P</t>
  </si>
  <si>
    <t>140000-M006-A200</t>
  </si>
  <si>
    <t>Front Hub 36 Holes</t>
  </si>
  <si>
    <t>600001-M042-A100</t>
  </si>
  <si>
    <t>Tube 27.5"</t>
  </si>
  <si>
    <t>600007-M006-A200</t>
  </si>
  <si>
    <t>Tyre 27.5</t>
  </si>
  <si>
    <t>600008-M006-A200</t>
  </si>
  <si>
    <t>411000-M042-A100</t>
  </si>
  <si>
    <t>Fender set</t>
  </si>
  <si>
    <t>180000-M042-A100</t>
  </si>
  <si>
    <t>Seat Post</t>
  </si>
  <si>
    <t>340000-M042-A100</t>
  </si>
  <si>
    <t>Seat Post Clamp</t>
  </si>
  <si>
    <t>130000-M042-A100</t>
  </si>
  <si>
    <t>Saddle</t>
  </si>
  <si>
    <t>350000-M042-A100</t>
  </si>
  <si>
    <t>330000-M006-A200</t>
  </si>
  <si>
    <t>Side Stand</t>
  </si>
  <si>
    <t>170000-M006-A200</t>
  </si>
  <si>
    <t>Controller X031-AA027</t>
  </si>
  <si>
    <t>Electrical</t>
  </si>
  <si>
    <t xml:space="preserve">Display Stem </t>
  </si>
  <si>
    <t>390000-M006-B200</t>
  </si>
  <si>
    <t>Half Throttle</t>
  </si>
  <si>
    <t>500000-M042-A100</t>
  </si>
  <si>
    <t>590000-M042-A100</t>
  </si>
  <si>
    <t>Rear motor</t>
  </si>
  <si>
    <t>511000-M006-A200</t>
  </si>
  <si>
    <t>Left Side Brake Lever</t>
  </si>
  <si>
    <t>520000-M006-A100</t>
  </si>
  <si>
    <t>Right Side Brake Lever</t>
  </si>
  <si>
    <t>530000-M006-A100</t>
  </si>
  <si>
    <t>Battery Name</t>
  </si>
  <si>
    <t>DP</t>
  </si>
  <si>
    <t>Customer</t>
  </si>
  <si>
    <t>GST</t>
  </si>
  <si>
    <t>DP+GST</t>
  </si>
  <si>
    <t>Cust + GST</t>
  </si>
  <si>
    <t>X Series 7.65</t>
  </si>
  <si>
    <t>Doodle 12.75 Ah</t>
  </si>
  <si>
    <t>570000-F032-A100</t>
  </si>
  <si>
    <t>EMX 13aH</t>
  </si>
  <si>
    <t>570000-M042-A100</t>
  </si>
  <si>
    <t>Trex 10.4</t>
  </si>
  <si>
    <t>13 Ah</t>
  </si>
  <si>
    <t>Charger</t>
  </si>
  <si>
    <t>580000-M042-A100</t>
  </si>
  <si>
    <t>Cust. Price 
(Non GST)</t>
  </si>
  <si>
    <t>DP GST</t>
  </si>
  <si>
    <t>Cust GST</t>
  </si>
  <si>
    <t>Handle Stem</t>
  </si>
  <si>
    <t>Pedal Assist sensor</t>
  </si>
  <si>
    <t>Display (With Silicon Cover)</t>
  </si>
  <si>
    <t>540000-EM02-A100/524000-EM02-A100</t>
  </si>
  <si>
    <t>Brake lever ( 1 set)</t>
  </si>
  <si>
    <t>520000-EM01-A100/530000-EM01-A100</t>
  </si>
  <si>
    <t>Sr.No.</t>
  </si>
  <si>
    <t xml:space="preserve">Item Name </t>
  </si>
  <si>
    <t xml:space="preserve">Part Type </t>
  </si>
  <si>
    <t>Dealer Price (Taxable)</t>
  </si>
  <si>
    <t>Customer Price (Taxable)</t>
  </si>
  <si>
    <t>Dealer price 
(Incl GST)</t>
  </si>
  <si>
    <t>Shock Absorbers</t>
  </si>
  <si>
    <t>120000-M042-A100</t>
  </si>
  <si>
    <t>140000-M042-A100</t>
  </si>
  <si>
    <t>330000-M042-A100</t>
  </si>
  <si>
    <t>Stem</t>
  </si>
  <si>
    <t>320000-M042-A100</t>
  </si>
  <si>
    <t>Chainwheel</t>
  </si>
  <si>
    <t>460002-M042-A100</t>
  </si>
  <si>
    <t>470000-M042-A100</t>
  </si>
  <si>
    <t>Flywheel multi</t>
  </si>
  <si>
    <t>Front Derailleur</t>
  </si>
  <si>
    <t>410000-M042-A100</t>
  </si>
  <si>
    <t>Rear Derailleur Altus</t>
  </si>
  <si>
    <t>400000-M042-A100</t>
  </si>
  <si>
    <t xml:space="preserve">Gear Shift Lever Front </t>
  </si>
  <si>
    <t>430000-M042-A100</t>
  </si>
  <si>
    <t xml:space="preserve">Gear shift lever Rear </t>
  </si>
  <si>
    <t>Front Brake Calliper</t>
  </si>
  <si>
    <t xml:space="preserve">Rear Brake Calliper </t>
  </si>
  <si>
    <t>front hub</t>
  </si>
  <si>
    <t>Tyre 1 Nos</t>
  </si>
  <si>
    <t>600008-M042-A100</t>
  </si>
  <si>
    <t>Inner Tube 1 Nos</t>
  </si>
  <si>
    <t>600007-M042-A100</t>
  </si>
  <si>
    <t>Side Stander</t>
  </si>
  <si>
    <t>170000-M042-A100</t>
  </si>
  <si>
    <t>Mud Guard</t>
  </si>
  <si>
    <t xml:space="preserve">Chain </t>
  </si>
  <si>
    <t>490000-M042-A100</t>
  </si>
  <si>
    <t>520000-M042-A100</t>
  </si>
  <si>
    <t>530000-M042-A100</t>
  </si>
  <si>
    <t xml:space="preserve">Rear Drive Motor </t>
  </si>
  <si>
    <t>511000-M042-A100</t>
  </si>
  <si>
    <t>Rear Tail Light</t>
  </si>
  <si>
    <t>513000-M042-A100</t>
  </si>
  <si>
    <t>Display M7C</t>
  </si>
  <si>
    <t>540000-M042-A100</t>
  </si>
  <si>
    <t>550000-M042-A100</t>
  </si>
  <si>
    <t xml:space="preserve">Throttle </t>
  </si>
  <si>
    <t>Sr.no</t>
  </si>
  <si>
    <t>Light model number</t>
  </si>
  <si>
    <t xml:space="preserve">Compatability </t>
  </si>
  <si>
    <t>Name of light</t>
  </si>
  <si>
    <t>Customer Price</t>
  </si>
  <si>
    <t>DH004</t>
  </si>
  <si>
    <t>EMX, TRex+, X1, X2</t>
  </si>
  <si>
    <t>Ray X1  (Light + switch)</t>
  </si>
  <si>
    <t>512000-M006-A100/532000-EM01-A100</t>
  </si>
  <si>
    <t>Ray X2  (Light )</t>
  </si>
  <si>
    <r>
      <rPr>
        <rFont val="Arial"/>
        <color rgb="FF000000"/>
      </rPr>
      <t>512000-M006-A100</t>
    </r>
  </si>
  <si>
    <t>DH006</t>
  </si>
  <si>
    <t>Beam X1 (Light + switch)</t>
  </si>
  <si>
    <t>LFT008-ASEM-A100/532000-EM01-A100</t>
  </si>
  <si>
    <t>Beam X2 (Light)</t>
  </si>
  <si>
    <t>LFT008-ASEM-A100</t>
  </si>
  <si>
    <t>DH007</t>
  </si>
  <si>
    <t>NA X1 (Light + Switch)</t>
  </si>
  <si>
    <t>LFT0010-ASEM-A100/532000-EM01-A100</t>
  </si>
  <si>
    <t>C10</t>
  </si>
  <si>
    <t>X3</t>
  </si>
  <si>
    <t>Halo (For X3)</t>
  </si>
  <si>
    <t>LFT009-ASEM-A100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</si>
</sst>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"/>
    <numFmt numFmtId="165" formatCode="[$₹]#,##0.00"/>
    <numFmt numFmtId="166" formatCode="0.0"/>
    <numFmt numFmtId="167" formatCode="0.0%"/>
  </numFmts>
  <fonts count="15">
    <font>
      <sz val="10.0"/>
      <color rgb="FF000000"/>
      <name val="Arial"/>
      <scheme val="minor"/>
    </font>
    <font>
      <b/>
      <sz val="9.0"/>
      <color rgb="FF000000"/>
      <name val="Calibri"/>
    </font>
    <font>
      <b/>
      <sz val="9.0"/>
      <color theme="1"/>
      <name val="Calibri"/>
    </font>
    <font>
      <sz val="9.0"/>
      <color theme="1"/>
      <name val="Arial"/>
    </font>
    <font>
      <sz val="9.0"/>
      <color rgb="FF000000"/>
      <name val="Calibri"/>
    </font>
    <font>
      <sz val="10.0"/>
      <color theme="1"/>
      <name val="Calibri"/>
    </font>
    <font>
      <color theme="1"/>
      <name val="Calibri"/>
    </font>
    <font>
      <sz val="9.0"/>
      <color theme="1"/>
      <name val="Calibri"/>
    </font>
    <font>
      <b/>
      <u/>
      <sz val="10.0"/>
      <color rgb="FF0000FF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color theme="1"/>
      <name val="Arial"/>
    </font>
    <font>
      <sz val="10.0"/>
      <color theme="1"/>
      <name val="Arial"/>
    </font>
    <font>
      <b/>
      <u/>
      <sz val="9.0"/>
      <color rgb="FF1155CC"/>
      <name val="Arial"/>
    </font>
    <font>
      <b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left" shrinkToFit="0" wrapText="1"/>
    </xf>
    <xf borderId="1" fillId="3" fontId="5" numFmtId="0" xfId="0" applyAlignment="1" applyBorder="1" applyFill="1" applyFont="1">
      <alignment horizontal="center" vertical="bottom"/>
    </xf>
    <xf borderId="1" fillId="0" fontId="4" numFmtId="164" xfId="0" applyAlignment="1" applyBorder="1" applyFont="1" applyNumberFormat="1">
      <alignment horizontal="left" shrinkToFit="0" wrapText="1"/>
    </xf>
    <xf borderId="1" fillId="0" fontId="4" numFmtId="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/>
    </xf>
    <xf borderId="1" fillId="0" fontId="4" numFmtId="164" xfId="0" applyAlignment="1" applyBorder="1" applyFont="1" applyNumberFormat="1">
      <alignment horizontal="left"/>
    </xf>
    <xf borderId="1" fillId="0" fontId="4" numFmtId="9" xfId="0" applyAlignment="1" applyBorder="1" applyFont="1" applyNumberFormat="1">
      <alignment horizontal="left"/>
    </xf>
    <xf borderId="1" fillId="3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1" fillId="3" fontId="4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wrapText="1"/>
    </xf>
    <xf borderId="1" fillId="0" fontId="4" numFmtId="164" xfId="0" applyAlignment="1" applyBorder="1" applyFont="1" applyNumberFormat="1">
      <alignment horizontal="left" vertical="bottom"/>
    </xf>
    <xf borderId="0" fillId="0" fontId="3" numFmtId="0" xfId="0" applyAlignment="1" applyFont="1">
      <alignment horizontal="left" shrinkToFit="0" wrapText="1"/>
    </xf>
    <xf borderId="0" fillId="0" fontId="3" numFmtId="4" xfId="0" applyAlignment="1" applyFont="1" applyNumberFormat="1">
      <alignment horizontal="left"/>
    </xf>
    <xf borderId="1" fillId="2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0" fontId="7" numFmtId="0" xfId="0" applyAlignment="1" applyBorder="1" applyFont="1">
      <alignment horizontal="center"/>
    </xf>
    <xf borderId="1" fillId="0" fontId="7" numFmtId="1" xfId="0" applyAlignment="1" applyBorder="1" applyFont="1" applyNumberFormat="1">
      <alignment horizontal="center"/>
    </xf>
    <xf borderId="1" fillId="0" fontId="4" numFmtId="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center"/>
    </xf>
    <xf borderId="1" fillId="0" fontId="4" numFmtId="9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shrinkToFit="0" wrapText="1"/>
    </xf>
    <xf borderId="1" fillId="0" fontId="4" numFmtId="164" xfId="0" applyAlignment="1" applyBorder="1" applyFont="1" applyNumberFormat="1">
      <alignment horizontal="center"/>
    </xf>
    <xf borderId="0" fillId="4" fontId="4" numFmtId="0" xfId="0" applyAlignment="1" applyFill="1" applyFont="1">
      <alignment horizontal="center" shrinkToFit="0" vertical="center" wrapText="0"/>
    </xf>
    <xf borderId="1" fillId="0" fontId="4" numFmtId="164" xfId="0" applyAlignment="1" applyBorder="1" applyFont="1" applyNumberFormat="1">
      <alignment horizontal="center" vertical="bottom"/>
    </xf>
    <xf borderId="0" fillId="0" fontId="5" numFmtId="165" xfId="0" applyAlignment="1" applyFont="1" applyNumberFormat="1">
      <alignment horizontal="center"/>
    </xf>
    <xf borderId="1" fillId="3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/>
    </xf>
    <xf borderId="1" fillId="3" fontId="7" numFmtId="1" xfId="0" applyAlignment="1" applyBorder="1" applyFont="1" applyNumberFormat="1">
      <alignment horizontal="center"/>
    </xf>
    <xf borderId="1" fillId="0" fontId="7" numFmtId="166" xfId="0" applyAlignment="1" applyBorder="1" applyFont="1" applyNumberFormat="1">
      <alignment horizontal="center"/>
    </xf>
    <xf borderId="1" fillId="4" fontId="7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1" fillId="4" fontId="5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1" xfId="0" applyAlignment="1" applyBorder="1" applyFont="1" applyNumberFormat="1">
      <alignment horizontal="center"/>
    </xf>
    <xf borderId="1" fillId="0" fontId="5" numFmtId="2" xfId="0" applyAlignment="1" applyBorder="1" applyFont="1" applyNumberFormat="1">
      <alignment horizontal="center"/>
    </xf>
    <xf borderId="1" fillId="0" fontId="5" numFmtId="167" xfId="0" applyBorder="1" applyFont="1" applyNumberFormat="1"/>
    <xf borderId="1" fillId="0" fontId="5" numFmtId="0" xfId="0" applyBorder="1" applyFont="1"/>
    <xf borderId="1" fillId="0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shrinkToFit="0" wrapText="1"/>
    </xf>
    <xf borderId="0" fillId="0" fontId="5" numFmtId="10" xfId="0" applyFont="1" applyNumberFormat="1"/>
    <xf borderId="1" fillId="2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/>
    </xf>
    <xf borderId="1" fillId="0" fontId="7" numFmtId="0" xfId="0" applyAlignment="1" applyBorder="1" applyFont="1">
      <alignment horizontal="center" shrinkToFit="0" wrapText="1"/>
    </xf>
    <xf borderId="1" fillId="0" fontId="7" numFmtId="164" xfId="0" applyAlignment="1" applyBorder="1" applyFont="1" applyNumberFormat="1">
      <alignment horizontal="center"/>
    </xf>
    <xf borderId="1" fillId="0" fontId="7" numFmtId="4" xfId="0" applyAlignment="1" applyBorder="1" applyFont="1" applyNumberFormat="1">
      <alignment horizontal="center"/>
    </xf>
    <xf borderId="1" fillId="0" fontId="7" numFmtId="9" xfId="0" applyAlignment="1" applyBorder="1" applyFont="1" applyNumberFormat="1">
      <alignment horizontal="center"/>
    </xf>
    <xf borderId="1" fillId="0" fontId="7" numFmtId="3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readingOrder="0" shrinkToFit="0" wrapText="1"/>
    </xf>
    <xf borderId="0" fillId="0" fontId="12" numFmtId="0" xfId="0" applyAlignment="1" applyFont="1">
      <alignment horizontal="center" shrinkToFit="0" wrapText="1"/>
    </xf>
    <xf borderId="1" fillId="2" fontId="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2" fillId="3" fontId="6" numFmtId="0" xfId="0" applyAlignment="1" applyBorder="1" applyFont="1">
      <alignment horizontal="center" vertical="bottom"/>
    </xf>
    <xf borderId="0" fillId="0" fontId="12" numFmtId="0" xfId="0" applyFont="1"/>
    <xf borderId="1" fillId="2" fontId="13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wrapText="1"/>
    </xf>
    <xf borderId="2" fillId="0" fontId="12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shrinkToFit="0" wrapText="1"/>
    </xf>
    <xf borderId="1" fillId="3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25"/>
    <col customWidth="1" min="2" max="2" width="30.5"/>
    <col customWidth="1" min="3" max="3" width="30.88"/>
    <col customWidth="1" min="4" max="4" width="10.5"/>
    <col customWidth="1" min="5" max="5" width="8.5"/>
    <col customWidth="1" min="6" max="6" width="9.88"/>
    <col customWidth="1" min="7" max="7" width="7.75"/>
    <col customWidth="1" min="8" max="8" width="10.5"/>
    <col customWidth="1" min="9" max="9" width="8.5"/>
    <col customWidth="1" min="10" max="10" width="7.88"/>
    <col customWidth="1" min="11" max="11" width="7.13"/>
  </cols>
  <sheetData>
    <row r="1" ht="26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4" t="s">
        <v>11</v>
      </c>
      <c r="C2" s="5" t="s">
        <v>12</v>
      </c>
      <c r="D2" s="4" t="s">
        <v>13</v>
      </c>
      <c r="E2" s="6">
        <v>145.0</v>
      </c>
      <c r="F2" s="6">
        <v>202.34375</v>
      </c>
      <c r="G2" s="7">
        <v>0.28</v>
      </c>
      <c r="H2" s="8">
        <v>259.0</v>
      </c>
      <c r="I2" s="9">
        <v>185.6</v>
      </c>
      <c r="J2" s="10">
        <v>0.39547413793103453</v>
      </c>
      <c r="K2" s="8">
        <v>499.0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1.25" customHeight="1">
      <c r="A3" s="4">
        <v>2.0</v>
      </c>
      <c r="B3" s="4" t="s">
        <v>14</v>
      </c>
      <c r="C3" s="5" t="s">
        <v>15</v>
      </c>
      <c r="D3" s="4" t="s">
        <v>13</v>
      </c>
      <c r="E3" s="6">
        <v>220.0</v>
      </c>
      <c r="F3" s="6">
        <v>390.625</v>
      </c>
      <c r="G3" s="7">
        <v>0.28</v>
      </c>
      <c r="H3" s="8">
        <v>500.0</v>
      </c>
      <c r="I3" s="9">
        <v>281.6</v>
      </c>
      <c r="J3" s="10">
        <v>0.7755681818181817</v>
      </c>
      <c r="K3" s="8">
        <v>999.0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1.25" customHeight="1">
      <c r="A4" s="4">
        <v>3.0</v>
      </c>
      <c r="B4" s="4" t="s">
        <v>16</v>
      </c>
      <c r="C4" s="5" t="s">
        <v>17</v>
      </c>
      <c r="D4" s="4" t="s">
        <v>13</v>
      </c>
      <c r="E4" s="6">
        <v>176.0</v>
      </c>
      <c r="F4" s="6">
        <v>205.46875</v>
      </c>
      <c r="G4" s="7">
        <v>0.28</v>
      </c>
      <c r="H4" s="8">
        <v>263.0</v>
      </c>
      <c r="I4" s="9">
        <v>225.28</v>
      </c>
      <c r="J4" s="10">
        <v>0.16743607954545453</v>
      </c>
      <c r="K4" s="8">
        <v>449.0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1.25" customHeight="1">
      <c r="A5" s="4">
        <v>4.0</v>
      </c>
      <c r="B5" s="4" t="s">
        <v>18</v>
      </c>
      <c r="C5" s="11" t="s">
        <v>19</v>
      </c>
      <c r="D5" s="4" t="s">
        <v>13</v>
      </c>
      <c r="E5" s="6">
        <v>210.0</v>
      </c>
      <c r="F5" s="6">
        <v>272.65625</v>
      </c>
      <c r="G5" s="7">
        <v>0.28</v>
      </c>
      <c r="H5" s="8">
        <v>349.0</v>
      </c>
      <c r="I5" s="9">
        <v>268.8</v>
      </c>
      <c r="J5" s="10">
        <v>0.2983630952380952</v>
      </c>
      <c r="K5" s="8">
        <v>499.0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1.25" customHeight="1">
      <c r="A6" s="4">
        <v>5.0</v>
      </c>
      <c r="B6" s="4" t="s">
        <v>20</v>
      </c>
      <c r="C6" s="11" t="s">
        <v>21</v>
      </c>
      <c r="D6" s="4" t="s">
        <v>13</v>
      </c>
      <c r="E6" s="6">
        <v>163.0</v>
      </c>
      <c r="F6" s="6">
        <v>253.90625</v>
      </c>
      <c r="G6" s="7">
        <v>0.28</v>
      </c>
      <c r="H6" s="8">
        <v>325.0</v>
      </c>
      <c r="I6" s="9">
        <v>208.64000000000001</v>
      </c>
      <c r="J6" s="10">
        <v>0.5577070552147239</v>
      </c>
      <c r="K6" s="8">
        <v>490.0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1.25" customHeight="1">
      <c r="A7" s="4">
        <v>6.0</v>
      </c>
      <c r="B7" s="4" t="s">
        <v>22</v>
      </c>
      <c r="C7" s="11" t="s">
        <v>23</v>
      </c>
      <c r="D7" s="4" t="s">
        <v>13</v>
      </c>
      <c r="E7" s="6">
        <v>540.0</v>
      </c>
      <c r="F7" s="6">
        <v>663.28125</v>
      </c>
      <c r="G7" s="7">
        <v>0.28</v>
      </c>
      <c r="H7" s="8">
        <v>849.0</v>
      </c>
      <c r="I7" s="9">
        <v>691.2</v>
      </c>
      <c r="J7" s="10">
        <v>0.22829861111111102</v>
      </c>
      <c r="K7" s="8">
        <v>999.0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1.25" customHeight="1">
      <c r="A8" s="4">
        <v>7.0</v>
      </c>
      <c r="B8" s="4" t="s">
        <v>24</v>
      </c>
      <c r="C8" s="11" t="s">
        <v>25</v>
      </c>
      <c r="D8" s="4" t="s">
        <v>13</v>
      </c>
      <c r="E8" s="6">
        <v>200.0</v>
      </c>
      <c r="F8" s="6">
        <v>272.65625</v>
      </c>
      <c r="G8" s="7">
        <v>0.28</v>
      </c>
      <c r="H8" s="8">
        <v>349.0</v>
      </c>
      <c r="I8" s="9">
        <v>256.0</v>
      </c>
      <c r="J8" s="10">
        <v>0.36328125</v>
      </c>
      <c r="K8" s="8">
        <v>799.0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1.25" customHeight="1">
      <c r="A9" s="4">
        <v>8.0</v>
      </c>
      <c r="B9" s="4" t="s">
        <v>26</v>
      </c>
      <c r="C9" s="11" t="s">
        <v>27</v>
      </c>
      <c r="D9" s="4" t="s">
        <v>13</v>
      </c>
      <c r="E9" s="6">
        <v>383.20000000000005</v>
      </c>
      <c r="F9" s="6">
        <v>452.34375</v>
      </c>
      <c r="G9" s="7">
        <v>0.28</v>
      </c>
      <c r="H9" s="8">
        <v>579.0</v>
      </c>
      <c r="I9" s="9">
        <v>490.4960000000001</v>
      </c>
      <c r="J9" s="10">
        <v>0.18043776096033382</v>
      </c>
      <c r="K9" s="8">
        <v>1499.0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1.25" customHeight="1">
      <c r="A10" s="4">
        <v>9.0</v>
      </c>
      <c r="B10" s="4" t="s">
        <v>28</v>
      </c>
      <c r="C10" s="12" t="s">
        <v>29</v>
      </c>
      <c r="D10" s="4" t="s">
        <v>13</v>
      </c>
      <c r="E10" s="6">
        <v>136.0</v>
      </c>
      <c r="F10" s="6">
        <v>233.59375</v>
      </c>
      <c r="G10" s="7">
        <v>0.28</v>
      </c>
      <c r="H10" s="8">
        <v>299.0</v>
      </c>
      <c r="I10" s="9">
        <v>174.08</v>
      </c>
      <c r="J10" s="10">
        <v>0.7176011029411763</v>
      </c>
      <c r="K10" s="8">
        <v>799.0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1.25" customHeight="1">
      <c r="A11" s="4">
        <v>10.0</v>
      </c>
      <c r="B11" s="4" t="s">
        <v>30</v>
      </c>
      <c r="C11" s="11" t="s">
        <v>31</v>
      </c>
      <c r="D11" s="4" t="s">
        <v>13</v>
      </c>
      <c r="E11" s="6">
        <v>120.0</v>
      </c>
      <c r="F11" s="6">
        <v>155.46875</v>
      </c>
      <c r="G11" s="7">
        <v>0.28</v>
      </c>
      <c r="H11" s="8">
        <v>199.0</v>
      </c>
      <c r="I11" s="9">
        <v>153.6</v>
      </c>
      <c r="J11" s="10">
        <v>0.29557291666666674</v>
      </c>
      <c r="K11" s="8">
        <v>349.0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1.25" customHeight="1">
      <c r="A12" s="4">
        <v>11.0</v>
      </c>
      <c r="B12" s="4" t="s">
        <v>32</v>
      </c>
      <c r="C12" s="13" t="s">
        <v>33</v>
      </c>
      <c r="D12" s="4" t="s">
        <v>13</v>
      </c>
      <c r="E12" s="6">
        <v>92.80000000000001</v>
      </c>
      <c r="F12" s="6">
        <v>155.46875</v>
      </c>
      <c r="G12" s="7">
        <v>0.28</v>
      </c>
      <c r="H12" s="8">
        <v>199.0</v>
      </c>
      <c r="I12" s="9">
        <v>118.78400000000002</v>
      </c>
      <c r="J12" s="10">
        <v>0.6753098060344824</v>
      </c>
      <c r="K12" s="8">
        <v>299.0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1.25" customHeight="1">
      <c r="A13" s="4">
        <v>12.0</v>
      </c>
      <c r="B13" s="4" t="s">
        <v>34</v>
      </c>
      <c r="C13" s="5" t="s">
        <v>35</v>
      </c>
      <c r="D13" s="4" t="s">
        <v>13</v>
      </c>
      <c r="E13" s="6">
        <v>119.36</v>
      </c>
      <c r="F13" s="6">
        <v>194.53125</v>
      </c>
      <c r="G13" s="7">
        <v>0.28</v>
      </c>
      <c r="H13" s="8">
        <v>249.0</v>
      </c>
      <c r="I13" s="9">
        <v>152.7808</v>
      </c>
      <c r="J13" s="10">
        <v>0.629785941689008</v>
      </c>
      <c r="K13" s="8">
        <v>599.0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1.25" customHeight="1">
      <c r="A14" s="4">
        <v>13.0</v>
      </c>
      <c r="B14" s="4" t="s">
        <v>36</v>
      </c>
      <c r="C14" s="11" t="s">
        <v>37</v>
      </c>
      <c r="D14" s="4" t="s">
        <v>13</v>
      </c>
      <c r="E14" s="6">
        <v>425.0</v>
      </c>
      <c r="F14" s="6">
        <v>546.09375</v>
      </c>
      <c r="G14" s="7">
        <v>0.28</v>
      </c>
      <c r="H14" s="8">
        <v>699.0</v>
      </c>
      <c r="I14" s="9">
        <v>544.0</v>
      </c>
      <c r="J14" s="10">
        <v>0.2849264705882353</v>
      </c>
      <c r="K14" s="8">
        <v>1299.0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1.25" customHeight="1">
      <c r="A15" s="4">
        <v>14.0</v>
      </c>
      <c r="B15" s="4" t="s">
        <v>38</v>
      </c>
      <c r="C15" s="11" t="s">
        <v>39</v>
      </c>
      <c r="D15" s="4" t="s">
        <v>13</v>
      </c>
      <c r="E15" s="6">
        <v>425.0</v>
      </c>
      <c r="F15" s="6">
        <v>546.09375</v>
      </c>
      <c r="G15" s="7">
        <v>0.28</v>
      </c>
      <c r="H15" s="8">
        <v>699.0</v>
      </c>
      <c r="I15" s="9">
        <v>544.0</v>
      </c>
      <c r="J15" s="10">
        <v>0.2849264705882353</v>
      </c>
      <c r="K15" s="8">
        <v>1299.0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1.25" customHeight="1">
      <c r="A16" s="4">
        <v>15.0</v>
      </c>
      <c r="B16" s="4" t="s">
        <v>40</v>
      </c>
      <c r="C16" s="11" t="s">
        <v>41</v>
      </c>
      <c r="D16" s="4" t="s">
        <v>13</v>
      </c>
      <c r="E16" s="6">
        <v>883.2</v>
      </c>
      <c r="F16" s="6">
        <v>1014.84375</v>
      </c>
      <c r="G16" s="7">
        <v>0.28</v>
      </c>
      <c r="H16" s="8">
        <v>1299.0</v>
      </c>
      <c r="I16" s="9">
        <v>1130.496</v>
      </c>
      <c r="J16" s="10">
        <v>0.1490531589673912</v>
      </c>
      <c r="K16" s="8">
        <v>2099.0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1.25" customHeight="1">
      <c r="A17" s="4">
        <v>16.0</v>
      </c>
      <c r="B17" s="4" t="s">
        <v>42</v>
      </c>
      <c r="C17" s="5" t="s">
        <v>43</v>
      </c>
      <c r="D17" s="4" t="s">
        <v>44</v>
      </c>
      <c r="E17" s="6">
        <v>4415.081521739131</v>
      </c>
      <c r="F17" s="6">
        <v>5077.34375</v>
      </c>
      <c r="G17" s="7">
        <v>0.28</v>
      </c>
      <c r="H17" s="8">
        <v>6499.0</v>
      </c>
      <c r="I17" s="9">
        <v>5651.304347826088</v>
      </c>
      <c r="J17" s="10">
        <v>0.15</v>
      </c>
      <c r="K17" s="8">
        <v>9499.0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1.25" customHeight="1">
      <c r="A18" s="4">
        <v>17.0</v>
      </c>
      <c r="B18" s="4" t="s">
        <v>45</v>
      </c>
      <c r="C18" s="5" t="s">
        <v>46</v>
      </c>
      <c r="D18" s="4" t="s">
        <v>44</v>
      </c>
      <c r="E18" s="6">
        <v>2377.038043478261</v>
      </c>
      <c r="F18" s="6">
        <v>2733.59375</v>
      </c>
      <c r="G18" s="7">
        <v>0.28</v>
      </c>
      <c r="H18" s="8">
        <v>3499.0</v>
      </c>
      <c r="I18" s="9">
        <v>3042.608695652174</v>
      </c>
      <c r="J18" s="10">
        <v>0.15</v>
      </c>
      <c r="K18" s="8">
        <v>4599.0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1.25" customHeight="1">
      <c r="A19" s="4">
        <v>18.0</v>
      </c>
      <c r="B19" s="4" t="s">
        <v>47</v>
      </c>
      <c r="C19" s="12" t="s">
        <v>48</v>
      </c>
      <c r="D19" s="4" t="s">
        <v>44</v>
      </c>
      <c r="E19" s="6">
        <v>7000.000000000001</v>
      </c>
      <c r="F19" s="6">
        <v>8050.0</v>
      </c>
      <c r="G19" s="7">
        <v>0.18</v>
      </c>
      <c r="H19" s="8">
        <v>9499.0</v>
      </c>
      <c r="I19" s="9">
        <v>8260.0</v>
      </c>
      <c r="J19" s="10">
        <v>0.15</v>
      </c>
      <c r="K19" s="8">
        <v>13499.0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1.25" customHeight="1">
      <c r="A20" s="4">
        <v>19.0</v>
      </c>
      <c r="B20" s="4" t="s">
        <v>49</v>
      </c>
      <c r="C20" s="12" t="s">
        <v>50</v>
      </c>
      <c r="D20" s="4" t="s">
        <v>44</v>
      </c>
      <c r="E20" s="6">
        <v>610.7336956521739</v>
      </c>
      <c r="F20" s="6">
        <v>702.34375</v>
      </c>
      <c r="G20" s="7">
        <v>0.28</v>
      </c>
      <c r="H20" s="8">
        <v>899.0</v>
      </c>
      <c r="I20" s="9">
        <v>781.7391304347826</v>
      </c>
      <c r="J20" s="10">
        <v>0.15</v>
      </c>
      <c r="K20" s="8">
        <v>899.0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1.25" customHeight="1">
      <c r="A21" s="4">
        <v>20.0</v>
      </c>
      <c r="B21" s="14" t="s">
        <v>51</v>
      </c>
      <c r="C21" s="15" t="s">
        <v>52</v>
      </c>
      <c r="D21" s="14" t="s">
        <v>44</v>
      </c>
      <c r="E21" s="6">
        <v>125.67934782608695</v>
      </c>
      <c r="F21" s="6">
        <v>144.53125</v>
      </c>
      <c r="G21" s="7">
        <v>0.28</v>
      </c>
      <c r="H21" s="8">
        <v>185.0</v>
      </c>
      <c r="I21" s="9">
        <v>160.8695652173913</v>
      </c>
      <c r="J21" s="10">
        <v>0.15</v>
      </c>
      <c r="K21" s="8">
        <v>299.0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1.25" customHeight="1">
      <c r="A22" s="4">
        <v>21.0</v>
      </c>
      <c r="B22" s="14" t="s">
        <v>53</v>
      </c>
      <c r="C22" s="15" t="s">
        <v>54</v>
      </c>
      <c r="D22" s="14" t="s">
        <v>44</v>
      </c>
      <c r="E22" s="6">
        <v>125.67934782608695</v>
      </c>
      <c r="F22" s="6">
        <v>144.53125</v>
      </c>
      <c r="G22" s="7">
        <v>0.28</v>
      </c>
      <c r="H22" s="8">
        <v>185.0</v>
      </c>
      <c r="I22" s="9">
        <v>160.8695652173913</v>
      </c>
      <c r="J22" s="10">
        <v>0.15</v>
      </c>
      <c r="K22" s="8">
        <v>299.0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1.25" customHeight="1">
      <c r="A23" s="4">
        <v>22.0</v>
      </c>
      <c r="B23" s="4" t="s">
        <v>55</v>
      </c>
      <c r="C23" s="12" t="s">
        <v>56</v>
      </c>
      <c r="D23" s="4" t="s">
        <v>44</v>
      </c>
      <c r="E23" s="6">
        <v>508.83152173913044</v>
      </c>
      <c r="F23" s="6">
        <v>585.15625</v>
      </c>
      <c r="G23" s="7">
        <v>0.28</v>
      </c>
      <c r="H23" s="8">
        <v>749.0</v>
      </c>
      <c r="I23" s="9">
        <v>651.304347826087</v>
      </c>
      <c r="J23" s="10">
        <v>0.15</v>
      </c>
      <c r="K23" s="8">
        <v>1299.0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1.25" customHeight="1">
      <c r="A24" s="4">
        <v>23.0</v>
      </c>
      <c r="B24" s="4" t="s">
        <v>57</v>
      </c>
      <c r="C24" s="16" t="s">
        <v>58</v>
      </c>
      <c r="D24" s="4" t="s">
        <v>44</v>
      </c>
      <c r="E24" s="6">
        <v>203.125</v>
      </c>
      <c r="F24" s="6">
        <v>233.59375</v>
      </c>
      <c r="G24" s="7">
        <v>0.28</v>
      </c>
      <c r="H24" s="8">
        <v>299.0</v>
      </c>
      <c r="I24" s="9">
        <v>260.0</v>
      </c>
      <c r="J24" s="10">
        <v>0.15</v>
      </c>
      <c r="K24" s="8">
        <v>399.0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1.25" customHeight="1">
      <c r="A25" s="4">
        <v>24.0</v>
      </c>
      <c r="B25" s="4" t="s">
        <v>59</v>
      </c>
      <c r="C25" s="11" t="s">
        <v>60</v>
      </c>
      <c r="D25" s="4" t="s">
        <v>13</v>
      </c>
      <c r="E25" s="17">
        <v>120.0</v>
      </c>
      <c r="F25" s="6">
        <v>233.59375</v>
      </c>
      <c r="G25" s="7">
        <v>0.28</v>
      </c>
      <c r="H25" s="17">
        <v>299.0</v>
      </c>
      <c r="I25" s="9">
        <v>153.6</v>
      </c>
      <c r="J25" s="10">
        <v>0.9466145833333334</v>
      </c>
      <c r="K25" s="8">
        <v>399.0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1.25" customHeight="1">
      <c r="A26" s="18"/>
      <c r="B26" s="18"/>
      <c r="C26" s="18"/>
      <c r="D26" s="18"/>
      <c r="E26" s="18"/>
      <c r="F26" s="18"/>
      <c r="G26" s="1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1.25" customHeight="1">
      <c r="A27" s="18"/>
      <c r="B27" s="18"/>
      <c r="C27" s="18"/>
      <c r="D27" s="18"/>
      <c r="E27" s="18"/>
      <c r="F27" s="18"/>
      <c r="G27" s="1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1.25" customHeight="1">
      <c r="A28" s="18"/>
      <c r="B28" s="18"/>
      <c r="C28" s="18"/>
      <c r="D28" s="18"/>
      <c r="E28" s="18"/>
      <c r="F28" s="18"/>
      <c r="G28" s="1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1.25" customHeight="1">
      <c r="A29" s="18"/>
      <c r="B29" s="18"/>
      <c r="C29" s="18"/>
      <c r="D29" s="18"/>
      <c r="E29" s="18"/>
      <c r="F29" s="18"/>
      <c r="G29" s="1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1.25" customHeight="1">
      <c r="A30" s="18"/>
      <c r="B30" s="18"/>
      <c r="C30" s="18"/>
      <c r="D30" s="18"/>
      <c r="E30" s="18"/>
      <c r="F30" s="18"/>
      <c r="G30" s="1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1.25" customHeight="1">
      <c r="A31" s="18"/>
      <c r="B31" s="18"/>
      <c r="C31" s="18"/>
      <c r="D31" s="18"/>
      <c r="E31" s="18"/>
      <c r="F31" s="18"/>
      <c r="G31" s="1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1.25" customHeight="1">
      <c r="A32" s="18"/>
      <c r="B32" s="18"/>
      <c r="C32" s="18"/>
      <c r="D32" s="18"/>
      <c r="E32" s="18"/>
      <c r="F32" s="18"/>
      <c r="G32" s="1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1.25" customHeight="1">
      <c r="A33" s="18"/>
      <c r="B33" s="18"/>
      <c r="C33" s="18"/>
      <c r="D33" s="18"/>
      <c r="E33" s="18"/>
      <c r="F33" s="18"/>
      <c r="G33" s="1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18"/>
      <c r="B34" s="18"/>
      <c r="C34" s="18"/>
      <c r="D34" s="18"/>
      <c r="E34" s="18"/>
      <c r="F34" s="18"/>
      <c r="G34" s="1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18"/>
      <c r="B35" s="18"/>
      <c r="C35" s="18"/>
      <c r="D35" s="18"/>
      <c r="E35" s="18"/>
      <c r="F35" s="18"/>
      <c r="G35" s="1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1.25" customHeight="1">
      <c r="A36" s="18"/>
      <c r="B36" s="18"/>
      <c r="C36" s="18"/>
      <c r="D36" s="18"/>
      <c r="E36" s="18"/>
      <c r="F36" s="18"/>
      <c r="G36" s="1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1.25" customHeight="1">
      <c r="A37" s="18"/>
      <c r="B37" s="18"/>
      <c r="C37" s="18"/>
      <c r="D37" s="18"/>
      <c r="E37" s="18"/>
      <c r="F37" s="18"/>
      <c r="G37" s="1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1.25" customHeight="1">
      <c r="A38" s="18"/>
      <c r="B38" s="18"/>
      <c r="C38" s="18"/>
      <c r="D38" s="18"/>
      <c r="E38" s="18"/>
      <c r="F38" s="18"/>
      <c r="G38" s="1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1.25" customHeight="1">
      <c r="A39" s="18"/>
      <c r="B39" s="18"/>
      <c r="C39" s="18"/>
      <c r="D39" s="18"/>
      <c r="E39" s="18"/>
      <c r="F39" s="18"/>
      <c r="G39" s="1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1.25" customHeight="1">
      <c r="A40" s="18"/>
      <c r="B40" s="18"/>
      <c r="C40" s="18"/>
      <c r="D40" s="18"/>
      <c r="E40" s="18"/>
      <c r="F40" s="18"/>
      <c r="G40" s="1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1.25" customHeight="1">
      <c r="A41" s="18"/>
      <c r="B41" s="18"/>
      <c r="C41" s="18"/>
      <c r="D41" s="18"/>
      <c r="E41" s="18"/>
      <c r="F41" s="18"/>
      <c r="G41" s="1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1.25" customHeight="1">
      <c r="A42" s="18"/>
      <c r="B42" s="18"/>
      <c r="C42" s="18"/>
      <c r="D42" s="18"/>
      <c r="E42" s="18"/>
      <c r="F42" s="18"/>
      <c r="G42" s="1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1.25" customHeight="1">
      <c r="A43" s="18"/>
      <c r="B43" s="18"/>
      <c r="C43" s="18"/>
      <c r="D43" s="18"/>
      <c r="E43" s="18"/>
      <c r="F43" s="18"/>
      <c r="G43" s="1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1.25" customHeight="1">
      <c r="A44" s="18"/>
      <c r="B44" s="18"/>
      <c r="C44" s="18"/>
      <c r="D44" s="18"/>
      <c r="E44" s="18"/>
      <c r="F44" s="18"/>
      <c r="G44" s="1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1.25" customHeight="1">
      <c r="A45" s="18"/>
      <c r="B45" s="18"/>
      <c r="C45" s="18"/>
      <c r="D45" s="18"/>
      <c r="E45" s="18"/>
      <c r="F45" s="18"/>
      <c r="G45" s="1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1.25" customHeight="1">
      <c r="A46" s="18"/>
      <c r="B46" s="18"/>
      <c r="C46" s="18"/>
      <c r="D46" s="18"/>
      <c r="E46" s="18"/>
      <c r="F46" s="18"/>
      <c r="G46" s="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1.25" customHeight="1">
      <c r="A47" s="18"/>
      <c r="B47" s="18"/>
      <c r="C47" s="18"/>
      <c r="D47" s="18"/>
      <c r="E47" s="18"/>
      <c r="F47" s="18"/>
      <c r="G47" s="1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1.25" customHeight="1">
      <c r="A48" s="18"/>
      <c r="B48" s="18"/>
      <c r="C48" s="18"/>
      <c r="D48" s="18"/>
      <c r="E48" s="18"/>
      <c r="F48" s="18"/>
      <c r="G48" s="1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1.25" customHeight="1">
      <c r="A49" s="18"/>
      <c r="B49" s="18"/>
      <c r="C49" s="18"/>
      <c r="D49" s="18"/>
      <c r="E49" s="18"/>
      <c r="F49" s="18"/>
      <c r="G49" s="1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18"/>
      <c r="B50" s="18"/>
      <c r="C50" s="18"/>
      <c r="D50" s="18"/>
      <c r="E50" s="18"/>
      <c r="F50" s="18"/>
      <c r="G50" s="1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1.25" customHeight="1">
      <c r="A51" s="18"/>
      <c r="B51" s="18"/>
      <c r="C51" s="18"/>
      <c r="D51" s="18"/>
      <c r="E51" s="18"/>
      <c r="F51" s="18"/>
      <c r="G51" s="1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1.25" customHeight="1">
      <c r="A52" s="18"/>
      <c r="B52" s="18"/>
      <c r="C52" s="18"/>
      <c r="D52" s="18"/>
      <c r="E52" s="18"/>
      <c r="F52" s="18"/>
      <c r="G52" s="1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1.25" customHeight="1">
      <c r="A53" s="18"/>
      <c r="B53" s="18"/>
      <c r="C53" s="18"/>
      <c r="D53" s="18"/>
      <c r="E53" s="18"/>
      <c r="F53" s="18"/>
      <c r="G53" s="1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1.25" customHeight="1">
      <c r="A54" s="18"/>
      <c r="B54" s="18"/>
      <c r="C54" s="18"/>
      <c r="D54" s="18"/>
      <c r="E54" s="18"/>
      <c r="F54" s="18"/>
      <c r="G54" s="1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1.25" customHeight="1">
      <c r="A55" s="18"/>
      <c r="B55" s="18"/>
      <c r="C55" s="18"/>
      <c r="D55" s="18"/>
      <c r="E55" s="18"/>
      <c r="F55" s="18"/>
      <c r="G55" s="1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1.25" customHeight="1">
      <c r="A56" s="18"/>
      <c r="B56" s="18"/>
      <c r="C56" s="18"/>
      <c r="D56" s="18"/>
      <c r="E56" s="18"/>
      <c r="F56" s="18"/>
      <c r="G56" s="1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1.25" customHeight="1">
      <c r="A57" s="18"/>
      <c r="B57" s="18"/>
      <c r="C57" s="18"/>
      <c r="D57" s="18"/>
      <c r="E57" s="18"/>
      <c r="F57" s="18"/>
      <c r="G57" s="1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1.25" customHeight="1">
      <c r="A58" s="18"/>
      <c r="B58" s="18"/>
      <c r="C58" s="18"/>
      <c r="D58" s="18"/>
      <c r="E58" s="18"/>
      <c r="F58" s="18"/>
      <c r="G58" s="1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1.25" customHeight="1">
      <c r="A59" s="18"/>
      <c r="B59" s="18"/>
      <c r="C59" s="18"/>
      <c r="D59" s="18"/>
      <c r="E59" s="18"/>
      <c r="F59" s="18"/>
      <c r="G59" s="1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1.25" customHeight="1">
      <c r="A60" s="18"/>
      <c r="B60" s="18"/>
      <c r="C60" s="18"/>
      <c r="D60" s="18"/>
      <c r="E60" s="18"/>
      <c r="F60" s="18"/>
      <c r="G60" s="1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1.25" customHeight="1">
      <c r="A61" s="18"/>
      <c r="B61" s="18"/>
      <c r="C61" s="18"/>
      <c r="D61" s="18"/>
      <c r="E61" s="18"/>
      <c r="F61" s="18"/>
      <c r="G61" s="1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1.25" customHeight="1">
      <c r="A62" s="18"/>
      <c r="B62" s="18"/>
      <c r="C62" s="18"/>
      <c r="D62" s="18"/>
      <c r="E62" s="18"/>
      <c r="F62" s="18"/>
      <c r="G62" s="1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1.25" customHeight="1">
      <c r="A63" s="18"/>
      <c r="B63" s="18"/>
      <c r="C63" s="18"/>
      <c r="D63" s="18"/>
      <c r="E63" s="18"/>
      <c r="F63" s="18"/>
      <c r="G63" s="1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1.25" customHeight="1">
      <c r="A64" s="18"/>
      <c r="B64" s="18"/>
      <c r="C64" s="18"/>
      <c r="D64" s="18"/>
      <c r="E64" s="18"/>
      <c r="F64" s="18"/>
      <c r="G64" s="1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1.25" customHeight="1">
      <c r="A65" s="18"/>
      <c r="B65" s="18"/>
      <c r="C65" s="18"/>
      <c r="D65" s="18"/>
      <c r="E65" s="18"/>
      <c r="F65" s="18"/>
      <c r="G65" s="1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1.25" customHeight="1">
      <c r="A66" s="18"/>
      <c r="B66" s="18"/>
      <c r="C66" s="18"/>
      <c r="D66" s="18"/>
      <c r="E66" s="18"/>
      <c r="F66" s="18"/>
      <c r="G66" s="1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1.25" customHeight="1">
      <c r="A67" s="18"/>
      <c r="B67" s="18"/>
      <c r="C67" s="18"/>
      <c r="D67" s="18"/>
      <c r="E67" s="18"/>
      <c r="F67" s="18"/>
      <c r="G67" s="1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1.25" customHeight="1">
      <c r="A68" s="18"/>
      <c r="B68" s="18"/>
      <c r="C68" s="18"/>
      <c r="D68" s="18"/>
      <c r="E68" s="18"/>
      <c r="F68" s="18"/>
      <c r="G68" s="1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1.25" customHeight="1">
      <c r="A69" s="18"/>
      <c r="B69" s="18"/>
      <c r="C69" s="18"/>
      <c r="D69" s="18"/>
      <c r="E69" s="18"/>
      <c r="F69" s="18"/>
      <c r="G69" s="1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1.25" customHeight="1">
      <c r="A70" s="18"/>
      <c r="B70" s="18"/>
      <c r="C70" s="18"/>
      <c r="D70" s="18"/>
      <c r="E70" s="18"/>
      <c r="F70" s="18"/>
      <c r="G70" s="1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1.25" customHeight="1">
      <c r="A71" s="18"/>
      <c r="B71" s="18"/>
      <c r="C71" s="18"/>
      <c r="D71" s="18"/>
      <c r="E71" s="18"/>
      <c r="F71" s="18"/>
      <c r="G71" s="1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1.25" customHeight="1">
      <c r="A72" s="18"/>
      <c r="B72" s="18"/>
      <c r="C72" s="18"/>
      <c r="D72" s="18"/>
      <c r="E72" s="18"/>
      <c r="F72" s="18"/>
      <c r="G72" s="1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1.25" customHeight="1">
      <c r="A73" s="18"/>
      <c r="B73" s="18"/>
      <c r="C73" s="18"/>
      <c r="D73" s="18"/>
      <c r="E73" s="18"/>
      <c r="F73" s="18"/>
      <c r="G73" s="1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1.25" customHeight="1">
      <c r="A74" s="18"/>
      <c r="B74" s="18"/>
      <c r="C74" s="18"/>
      <c r="D74" s="18"/>
      <c r="E74" s="18"/>
      <c r="F74" s="18"/>
      <c r="G74" s="1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1.25" customHeight="1">
      <c r="A75" s="18"/>
      <c r="B75" s="18"/>
      <c r="C75" s="18"/>
      <c r="D75" s="18"/>
      <c r="E75" s="18"/>
      <c r="F75" s="18"/>
      <c r="G75" s="1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1.25" customHeight="1">
      <c r="A76" s="18"/>
      <c r="B76" s="18"/>
      <c r="C76" s="18"/>
      <c r="D76" s="18"/>
      <c r="E76" s="18"/>
      <c r="F76" s="18"/>
      <c r="G76" s="1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1.25" customHeight="1">
      <c r="A77" s="18"/>
      <c r="B77" s="18"/>
      <c r="C77" s="18"/>
      <c r="D77" s="18"/>
      <c r="E77" s="18"/>
      <c r="F77" s="18"/>
      <c r="G77" s="19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1.25" customHeight="1">
      <c r="A78" s="18"/>
      <c r="B78" s="18"/>
      <c r="C78" s="18"/>
      <c r="D78" s="18"/>
      <c r="E78" s="18"/>
      <c r="F78" s="18"/>
      <c r="G78" s="1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1.25" customHeight="1">
      <c r="A79" s="18"/>
      <c r="B79" s="18"/>
      <c r="C79" s="18"/>
      <c r="D79" s="18"/>
      <c r="E79" s="18"/>
      <c r="F79" s="18"/>
      <c r="G79" s="1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1.25" customHeight="1">
      <c r="A80" s="18"/>
      <c r="B80" s="18"/>
      <c r="C80" s="18"/>
      <c r="D80" s="18"/>
      <c r="E80" s="18"/>
      <c r="F80" s="18"/>
      <c r="G80" s="1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1.25" customHeight="1">
      <c r="A81" s="18"/>
      <c r="B81" s="18"/>
      <c r="C81" s="18"/>
      <c r="D81" s="18"/>
      <c r="E81" s="18"/>
      <c r="F81" s="18"/>
      <c r="G81" s="1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1.25" customHeight="1">
      <c r="A82" s="18"/>
      <c r="B82" s="18"/>
      <c r="C82" s="18"/>
      <c r="D82" s="18"/>
      <c r="E82" s="18"/>
      <c r="F82" s="18"/>
      <c r="G82" s="1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1.25" customHeight="1">
      <c r="A83" s="18"/>
      <c r="B83" s="18"/>
      <c r="C83" s="18"/>
      <c r="D83" s="18"/>
      <c r="E83" s="18"/>
      <c r="F83" s="18"/>
      <c r="G83" s="1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1.25" customHeight="1">
      <c r="A84" s="18"/>
      <c r="B84" s="18"/>
      <c r="C84" s="18"/>
      <c r="D84" s="18"/>
      <c r="E84" s="18"/>
      <c r="F84" s="18"/>
      <c r="G84" s="1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18"/>
      <c r="B85" s="18"/>
      <c r="C85" s="18"/>
      <c r="D85" s="18"/>
      <c r="E85" s="18"/>
      <c r="F85" s="18"/>
      <c r="G85" s="1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1.25" customHeight="1">
      <c r="A86" s="18"/>
      <c r="B86" s="18"/>
      <c r="C86" s="18"/>
      <c r="D86" s="18"/>
      <c r="E86" s="18"/>
      <c r="F86" s="18"/>
      <c r="G86" s="1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1.25" customHeight="1">
      <c r="A87" s="18"/>
      <c r="B87" s="18"/>
      <c r="C87" s="18"/>
      <c r="D87" s="18"/>
      <c r="E87" s="18"/>
      <c r="F87" s="18"/>
      <c r="G87" s="1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1.25" customHeight="1">
      <c r="A88" s="18"/>
      <c r="B88" s="18"/>
      <c r="C88" s="18"/>
      <c r="D88" s="18"/>
      <c r="E88" s="18"/>
      <c r="F88" s="18"/>
      <c r="G88" s="1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1.25" customHeight="1">
      <c r="A89" s="18"/>
      <c r="B89" s="18"/>
      <c r="C89" s="18"/>
      <c r="D89" s="18"/>
      <c r="E89" s="18"/>
      <c r="F89" s="18"/>
      <c r="G89" s="1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1.25" customHeight="1">
      <c r="A90" s="18"/>
      <c r="B90" s="18"/>
      <c r="C90" s="18"/>
      <c r="D90" s="18"/>
      <c r="E90" s="18"/>
      <c r="F90" s="18"/>
      <c r="G90" s="1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1.25" customHeight="1">
      <c r="A91" s="18"/>
      <c r="B91" s="18"/>
      <c r="C91" s="18"/>
      <c r="D91" s="18"/>
      <c r="E91" s="18"/>
      <c r="F91" s="18"/>
      <c r="G91" s="1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1.25" customHeight="1">
      <c r="A92" s="18"/>
      <c r="B92" s="18"/>
      <c r="C92" s="18"/>
      <c r="D92" s="18"/>
      <c r="E92" s="18"/>
      <c r="F92" s="18"/>
      <c r="G92" s="1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1.25" customHeight="1">
      <c r="A93" s="18"/>
      <c r="B93" s="18"/>
      <c r="C93" s="18"/>
      <c r="D93" s="18"/>
      <c r="E93" s="18"/>
      <c r="F93" s="18"/>
      <c r="G93" s="1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1.25" customHeight="1">
      <c r="A94" s="18"/>
      <c r="B94" s="18"/>
      <c r="C94" s="18"/>
      <c r="D94" s="18"/>
      <c r="E94" s="18"/>
      <c r="F94" s="18"/>
      <c r="G94" s="1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1.25" customHeight="1">
      <c r="A95" s="18"/>
      <c r="B95" s="18"/>
      <c r="C95" s="18"/>
      <c r="D95" s="18"/>
      <c r="E95" s="18"/>
      <c r="F95" s="18"/>
      <c r="G95" s="1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1.25" customHeight="1">
      <c r="A96" s="18"/>
      <c r="B96" s="18"/>
      <c r="C96" s="18"/>
      <c r="D96" s="18"/>
      <c r="E96" s="18"/>
      <c r="F96" s="18"/>
      <c r="G96" s="1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1.25" customHeight="1">
      <c r="A97" s="18"/>
      <c r="B97" s="18"/>
      <c r="C97" s="18"/>
      <c r="D97" s="18"/>
      <c r="E97" s="18"/>
      <c r="F97" s="18"/>
      <c r="G97" s="1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1.25" customHeight="1">
      <c r="A98" s="18"/>
      <c r="B98" s="18"/>
      <c r="C98" s="18"/>
      <c r="D98" s="18"/>
      <c r="E98" s="18"/>
      <c r="F98" s="18"/>
      <c r="G98" s="1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1.25" customHeight="1">
      <c r="A99" s="18"/>
      <c r="B99" s="18"/>
      <c r="C99" s="18"/>
      <c r="D99" s="18"/>
      <c r="E99" s="18"/>
      <c r="F99" s="18"/>
      <c r="G99" s="1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1.25" customHeight="1">
      <c r="A100" s="18"/>
      <c r="B100" s="18"/>
      <c r="C100" s="18"/>
      <c r="D100" s="18"/>
      <c r="E100" s="18"/>
      <c r="F100" s="18"/>
      <c r="G100" s="1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1.25" customHeight="1">
      <c r="A101" s="18"/>
      <c r="B101" s="18"/>
      <c r="C101" s="18"/>
      <c r="D101" s="18"/>
      <c r="E101" s="18"/>
      <c r="F101" s="18"/>
      <c r="G101" s="1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1.25" customHeight="1">
      <c r="A102" s="18"/>
      <c r="B102" s="18"/>
      <c r="C102" s="18"/>
      <c r="D102" s="18"/>
      <c r="E102" s="18"/>
      <c r="F102" s="18"/>
      <c r="G102" s="1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1.25" customHeight="1">
      <c r="A103" s="18"/>
      <c r="B103" s="18"/>
      <c r="C103" s="18"/>
      <c r="D103" s="18"/>
      <c r="E103" s="18"/>
      <c r="F103" s="18"/>
      <c r="G103" s="1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1.25" customHeight="1">
      <c r="A104" s="18"/>
      <c r="B104" s="18"/>
      <c r="C104" s="18"/>
      <c r="D104" s="18"/>
      <c r="E104" s="18"/>
      <c r="F104" s="18"/>
      <c r="G104" s="1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1.25" customHeight="1">
      <c r="A105" s="18"/>
      <c r="B105" s="18"/>
      <c r="C105" s="18"/>
      <c r="D105" s="18"/>
      <c r="E105" s="18"/>
      <c r="F105" s="18"/>
      <c r="G105" s="1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1.25" customHeight="1">
      <c r="A106" s="18"/>
      <c r="B106" s="18"/>
      <c r="C106" s="18"/>
      <c r="D106" s="18"/>
      <c r="E106" s="18"/>
      <c r="F106" s="18"/>
      <c r="G106" s="1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1.25" customHeight="1">
      <c r="A107" s="18"/>
      <c r="B107" s="18"/>
      <c r="C107" s="18"/>
      <c r="D107" s="18"/>
      <c r="E107" s="18"/>
      <c r="F107" s="18"/>
      <c r="G107" s="1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1.25" customHeight="1">
      <c r="A108" s="18"/>
      <c r="B108" s="18"/>
      <c r="C108" s="18"/>
      <c r="D108" s="18"/>
      <c r="E108" s="18"/>
      <c r="F108" s="18"/>
      <c r="G108" s="1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1.25" customHeight="1">
      <c r="A109" s="18"/>
      <c r="B109" s="18"/>
      <c r="C109" s="18"/>
      <c r="D109" s="18"/>
      <c r="E109" s="18"/>
      <c r="F109" s="18"/>
      <c r="G109" s="1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1.25" customHeight="1">
      <c r="A110" s="18"/>
      <c r="B110" s="18"/>
      <c r="C110" s="18"/>
      <c r="D110" s="18"/>
      <c r="E110" s="18"/>
      <c r="F110" s="18"/>
      <c r="G110" s="1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1.25" customHeight="1">
      <c r="A111" s="18"/>
      <c r="B111" s="18"/>
      <c r="C111" s="18"/>
      <c r="D111" s="18"/>
      <c r="E111" s="18"/>
      <c r="F111" s="18"/>
      <c r="G111" s="1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1.25" customHeight="1">
      <c r="A112" s="18"/>
      <c r="B112" s="18"/>
      <c r="C112" s="18"/>
      <c r="D112" s="18"/>
      <c r="E112" s="18"/>
      <c r="F112" s="18"/>
      <c r="G112" s="1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1.25" customHeight="1">
      <c r="A113" s="18"/>
      <c r="B113" s="18"/>
      <c r="C113" s="18"/>
      <c r="D113" s="18"/>
      <c r="E113" s="18"/>
      <c r="F113" s="18"/>
      <c r="G113" s="1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1.25" customHeight="1">
      <c r="A114" s="18"/>
      <c r="B114" s="18"/>
      <c r="C114" s="18"/>
      <c r="D114" s="18"/>
      <c r="E114" s="18"/>
      <c r="F114" s="18"/>
      <c r="G114" s="1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1.25" customHeight="1">
      <c r="A115" s="18"/>
      <c r="B115" s="18"/>
      <c r="C115" s="18"/>
      <c r="D115" s="18"/>
      <c r="E115" s="18"/>
      <c r="F115" s="18"/>
      <c r="G115" s="1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1.25" customHeight="1">
      <c r="A116" s="18"/>
      <c r="B116" s="18"/>
      <c r="C116" s="18"/>
      <c r="D116" s="18"/>
      <c r="E116" s="18"/>
      <c r="F116" s="18"/>
      <c r="G116" s="1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1.25" customHeight="1">
      <c r="A117" s="18"/>
      <c r="B117" s="18"/>
      <c r="C117" s="18"/>
      <c r="D117" s="18"/>
      <c r="E117" s="18"/>
      <c r="F117" s="18"/>
      <c r="G117" s="1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1.25" customHeight="1">
      <c r="A118" s="18"/>
      <c r="B118" s="18"/>
      <c r="C118" s="18"/>
      <c r="D118" s="18"/>
      <c r="E118" s="18"/>
      <c r="F118" s="18"/>
      <c r="G118" s="1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1.25" customHeight="1">
      <c r="A119" s="18"/>
      <c r="B119" s="18"/>
      <c r="C119" s="18"/>
      <c r="D119" s="18"/>
      <c r="E119" s="18"/>
      <c r="F119" s="18"/>
      <c r="G119" s="1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1.25" customHeight="1">
      <c r="A120" s="18"/>
      <c r="B120" s="18"/>
      <c r="C120" s="18"/>
      <c r="D120" s="18"/>
      <c r="E120" s="18"/>
      <c r="F120" s="18"/>
      <c r="G120" s="1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1.25" customHeight="1">
      <c r="A121" s="18"/>
      <c r="B121" s="18"/>
      <c r="C121" s="18"/>
      <c r="D121" s="18"/>
      <c r="E121" s="18"/>
      <c r="F121" s="18"/>
      <c r="G121" s="1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1.25" customHeight="1">
      <c r="A122" s="18"/>
      <c r="B122" s="18"/>
      <c r="C122" s="18"/>
      <c r="D122" s="18"/>
      <c r="E122" s="18"/>
      <c r="F122" s="18"/>
      <c r="G122" s="1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1.25" customHeight="1">
      <c r="A123" s="18"/>
      <c r="B123" s="18"/>
      <c r="C123" s="18"/>
      <c r="D123" s="18"/>
      <c r="E123" s="18"/>
      <c r="F123" s="18"/>
      <c r="G123" s="1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1.25" customHeight="1">
      <c r="A124" s="18"/>
      <c r="B124" s="18"/>
      <c r="C124" s="18"/>
      <c r="D124" s="18"/>
      <c r="E124" s="18"/>
      <c r="F124" s="18"/>
      <c r="G124" s="1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1.25" customHeight="1">
      <c r="A125" s="18"/>
      <c r="B125" s="18"/>
      <c r="C125" s="18"/>
      <c r="D125" s="18"/>
      <c r="E125" s="18"/>
      <c r="F125" s="18"/>
      <c r="G125" s="1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1.25" customHeight="1">
      <c r="A126" s="18"/>
      <c r="B126" s="18"/>
      <c r="C126" s="18"/>
      <c r="D126" s="18"/>
      <c r="E126" s="18"/>
      <c r="F126" s="18"/>
      <c r="G126" s="1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1.25" customHeight="1">
      <c r="A127" s="18"/>
      <c r="B127" s="18"/>
      <c r="C127" s="18"/>
      <c r="D127" s="18"/>
      <c r="E127" s="18"/>
      <c r="F127" s="18"/>
      <c r="G127" s="1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1.25" customHeight="1">
      <c r="A128" s="18"/>
      <c r="B128" s="18"/>
      <c r="C128" s="18"/>
      <c r="D128" s="18"/>
      <c r="E128" s="18"/>
      <c r="F128" s="18"/>
      <c r="G128" s="1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1.25" customHeight="1">
      <c r="A129" s="18"/>
      <c r="B129" s="18"/>
      <c r="C129" s="18"/>
      <c r="D129" s="18"/>
      <c r="E129" s="18"/>
      <c r="F129" s="18"/>
      <c r="G129" s="1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1.25" customHeight="1">
      <c r="A130" s="18"/>
      <c r="B130" s="18"/>
      <c r="C130" s="18"/>
      <c r="D130" s="18"/>
      <c r="E130" s="18"/>
      <c r="F130" s="18"/>
      <c r="G130" s="1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1.25" customHeight="1">
      <c r="A131" s="18"/>
      <c r="B131" s="18"/>
      <c r="C131" s="18"/>
      <c r="D131" s="18"/>
      <c r="E131" s="18"/>
      <c r="F131" s="18"/>
      <c r="G131" s="1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1.25" customHeight="1">
      <c r="A132" s="18"/>
      <c r="B132" s="18"/>
      <c r="C132" s="18"/>
      <c r="D132" s="18"/>
      <c r="E132" s="18"/>
      <c r="F132" s="18"/>
      <c r="G132" s="1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1.25" customHeight="1">
      <c r="A133" s="18"/>
      <c r="B133" s="18"/>
      <c r="C133" s="18"/>
      <c r="D133" s="18"/>
      <c r="E133" s="18"/>
      <c r="F133" s="18"/>
      <c r="G133" s="1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1.25" customHeight="1">
      <c r="A134" s="18"/>
      <c r="B134" s="18"/>
      <c r="C134" s="18"/>
      <c r="D134" s="18"/>
      <c r="E134" s="18"/>
      <c r="F134" s="18"/>
      <c r="G134" s="1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1.25" customHeight="1">
      <c r="A135" s="18"/>
      <c r="B135" s="18"/>
      <c r="C135" s="18"/>
      <c r="D135" s="18"/>
      <c r="E135" s="18"/>
      <c r="F135" s="18"/>
      <c r="G135" s="1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1.25" customHeight="1">
      <c r="A136" s="18"/>
      <c r="B136" s="18"/>
      <c r="C136" s="18"/>
      <c r="D136" s="18"/>
      <c r="E136" s="18"/>
      <c r="F136" s="18"/>
      <c r="G136" s="1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1.25" customHeight="1">
      <c r="A137" s="18"/>
      <c r="B137" s="18"/>
      <c r="C137" s="18"/>
      <c r="D137" s="18"/>
      <c r="E137" s="18"/>
      <c r="F137" s="18"/>
      <c r="G137" s="1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1.25" customHeight="1">
      <c r="A138" s="18"/>
      <c r="B138" s="18"/>
      <c r="C138" s="18"/>
      <c r="D138" s="18"/>
      <c r="E138" s="18"/>
      <c r="F138" s="18"/>
      <c r="G138" s="1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1.25" customHeight="1">
      <c r="A139" s="18"/>
      <c r="B139" s="18"/>
      <c r="C139" s="18"/>
      <c r="D139" s="18"/>
      <c r="E139" s="18"/>
      <c r="F139" s="18"/>
      <c r="G139" s="1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1.25" customHeight="1">
      <c r="A140" s="18"/>
      <c r="B140" s="18"/>
      <c r="C140" s="18"/>
      <c r="D140" s="18"/>
      <c r="E140" s="18"/>
      <c r="F140" s="18"/>
      <c r="G140" s="1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1.25" customHeight="1">
      <c r="A141" s="18"/>
      <c r="B141" s="18"/>
      <c r="C141" s="18"/>
      <c r="D141" s="18"/>
      <c r="E141" s="18"/>
      <c r="F141" s="18"/>
      <c r="G141" s="1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1.25" customHeight="1">
      <c r="A142" s="18"/>
      <c r="B142" s="18"/>
      <c r="C142" s="18"/>
      <c r="D142" s="18"/>
      <c r="E142" s="18"/>
      <c r="F142" s="18"/>
      <c r="G142" s="1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1.25" customHeight="1">
      <c r="A143" s="18"/>
      <c r="B143" s="18"/>
      <c r="C143" s="18"/>
      <c r="D143" s="18"/>
      <c r="E143" s="18"/>
      <c r="F143" s="18"/>
      <c r="G143" s="1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1.25" customHeight="1">
      <c r="A144" s="18"/>
      <c r="B144" s="18"/>
      <c r="C144" s="18"/>
      <c r="D144" s="18"/>
      <c r="E144" s="18"/>
      <c r="F144" s="18"/>
      <c r="G144" s="1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1.25" customHeight="1">
      <c r="A145" s="18"/>
      <c r="B145" s="18"/>
      <c r="C145" s="18"/>
      <c r="D145" s="18"/>
      <c r="E145" s="18"/>
      <c r="F145" s="18"/>
      <c r="G145" s="1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1.25" customHeight="1">
      <c r="A146" s="18"/>
      <c r="B146" s="18"/>
      <c r="C146" s="18"/>
      <c r="D146" s="18"/>
      <c r="E146" s="18"/>
      <c r="F146" s="18"/>
      <c r="G146" s="1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1.25" customHeight="1">
      <c r="A147" s="18"/>
      <c r="B147" s="18"/>
      <c r="C147" s="18"/>
      <c r="D147" s="18"/>
      <c r="E147" s="18"/>
      <c r="F147" s="18"/>
      <c r="G147" s="1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1.25" customHeight="1">
      <c r="A148" s="18"/>
      <c r="B148" s="18"/>
      <c r="C148" s="18"/>
      <c r="D148" s="18"/>
      <c r="E148" s="18"/>
      <c r="F148" s="18"/>
      <c r="G148" s="1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1.25" customHeight="1">
      <c r="A149" s="18"/>
      <c r="B149" s="18"/>
      <c r="C149" s="18"/>
      <c r="D149" s="18"/>
      <c r="E149" s="18"/>
      <c r="F149" s="18"/>
      <c r="G149" s="1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1.25" customHeight="1">
      <c r="A150" s="18"/>
      <c r="B150" s="18"/>
      <c r="C150" s="18"/>
      <c r="D150" s="18"/>
      <c r="E150" s="18"/>
      <c r="F150" s="18"/>
      <c r="G150" s="1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1.25" customHeight="1">
      <c r="A151" s="18"/>
      <c r="B151" s="18"/>
      <c r="C151" s="18"/>
      <c r="D151" s="18"/>
      <c r="E151" s="18"/>
      <c r="F151" s="18"/>
      <c r="G151" s="1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1.25" customHeight="1">
      <c r="A152" s="18"/>
      <c r="B152" s="18"/>
      <c r="C152" s="18"/>
      <c r="D152" s="18"/>
      <c r="E152" s="18"/>
      <c r="F152" s="18"/>
      <c r="G152" s="1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1.25" customHeight="1">
      <c r="A153" s="18"/>
      <c r="B153" s="18"/>
      <c r="C153" s="18"/>
      <c r="D153" s="18"/>
      <c r="E153" s="18"/>
      <c r="F153" s="18"/>
      <c r="G153" s="1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1.25" customHeight="1">
      <c r="A154" s="18"/>
      <c r="B154" s="18"/>
      <c r="C154" s="18"/>
      <c r="D154" s="18"/>
      <c r="E154" s="18"/>
      <c r="F154" s="18"/>
      <c r="G154" s="1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1.25" customHeight="1">
      <c r="A155" s="18"/>
      <c r="B155" s="18"/>
      <c r="C155" s="18"/>
      <c r="D155" s="18"/>
      <c r="E155" s="18"/>
      <c r="F155" s="18"/>
      <c r="G155" s="1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1.25" customHeight="1">
      <c r="A156" s="18"/>
      <c r="B156" s="18"/>
      <c r="C156" s="18"/>
      <c r="D156" s="18"/>
      <c r="E156" s="18"/>
      <c r="F156" s="18"/>
      <c r="G156" s="1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1.25" customHeight="1">
      <c r="A157" s="18"/>
      <c r="B157" s="18"/>
      <c r="C157" s="18"/>
      <c r="D157" s="18"/>
      <c r="E157" s="18"/>
      <c r="F157" s="18"/>
      <c r="G157" s="1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1.25" customHeight="1">
      <c r="A158" s="18"/>
      <c r="B158" s="18"/>
      <c r="C158" s="18"/>
      <c r="D158" s="18"/>
      <c r="E158" s="18"/>
      <c r="F158" s="18"/>
      <c r="G158" s="1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1.25" customHeight="1">
      <c r="A159" s="18"/>
      <c r="B159" s="18"/>
      <c r="C159" s="18"/>
      <c r="D159" s="18"/>
      <c r="E159" s="18"/>
      <c r="F159" s="18"/>
      <c r="G159" s="1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1.25" customHeight="1">
      <c r="A160" s="18"/>
      <c r="B160" s="18"/>
      <c r="C160" s="18"/>
      <c r="D160" s="18"/>
      <c r="E160" s="18"/>
      <c r="F160" s="18"/>
      <c r="G160" s="1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1.25" customHeight="1">
      <c r="A161" s="18"/>
      <c r="B161" s="18"/>
      <c r="C161" s="18"/>
      <c r="D161" s="18"/>
      <c r="E161" s="18"/>
      <c r="F161" s="18"/>
      <c r="G161" s="1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1.25" customHeight="1">
      <c r="A162" s="18"/>
      <c r="B162" s="18"/>
      <c r="C162" s="18"/>
      <c r="D162" s="18"/>
      <c r="E162" s="18"/>
      <c r="F162" s="18"/>
      <c r="G162" s="1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1.25" customHeight="1">
      <c r="A163" s="18"/>
      <c r="B163" s="18"/>
      <c r="C163" s="18"/>
      <c r="D163" s="18"/>
      <c r="E163" s="18"/>
      <c r="F163" s="18"/>
      <c r="G163" s="1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1.25" customHeight="1">
      <c r="A164" s="18"/>
      <c r="B164" s="18"/>
      <c r="C164" s="18"/>
      <c r="D164" s="18"/>
      <c r="E164" s="18"/>
      <c r="F164" s="18"/>
      <c r="G164" s="1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1.25" customHeight="1">
      <c r="A165" s="18"/>
      <c r="B165" s="18"/>
      <c r="C165" s="18"/>
      <c r="D165" s="18"/>
      <c r="E165" s="18"/>
      <c r="F165" s="18"/>
      <c r="G165" s="1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1.25" customHeight="1">
      <c r="A166" s="18"/>
      <c r="B166" s="18"/>
      <c r="C166" s="18"/>
      <c r="D166" s="18"/>
      <c r="E166" s="18"/>
      <c r="F166" s="18"/>
      <c r="G166" s="1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1.25" customHeight="1">
      <c r="A167" s="18"/>
      <c r="B167" s="18"/>
      <c r="C167" s="18"/>
      <c r="D167" s="18"/>
      <c r="E167" s="18"/>
      <c r="F167" s="18"/>
      <c r="G167" s="1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1.25" customHeight="1">
      <c r="A168" s="18"/>
      <c r="B168" s="18"/>
      <c r="C168" s="18"/>
      <c r="D168" s="18"/>
      <c r="E168" s="18"/>
      <c r="F168" s="18"/>
      <c r="G168" s="1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1.25" customHeight="1">
      <c r="A169" s="18"/>
      <c r="B169" s="18"/>
      <c r="C169" s="18"/>
      <c r="D169" s="18"/>
      <c r="E169" s="18"/>
      <c r="F169" s="18"/>
      <c r="G169" s="1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1.25" customHeight="1">
      <c r="A170" s="18"/>
      <c r="B170" s="18"/>
      <c r="C170" s="18"/>
      <c r="D170" s="18"/>
      <c r="E170" s="18"/>
      <c r="F170" s="18"/>
      <c r="G170" s="1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1.25" customHeight="1">
      <c r="A171" s="18"/>
      <c r="B171" s="18"/>
      <c r="C171" s="18"/>
      <c r="D171" s="18"/>
      <c r="E171" s="18"/>
      <c r="F171" s="18"/>
      <c r="G171" s="1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1.25" customHeight="1">
      <c r="A172" s="18"/>
      <c r="B172" s="18"/>
      <c r="C172" s="18"/>
      <c r="D172" s="18"/>
      <c r="E172" s="18"/>
      <c r="F172" s="18"/>
      <c r="G172" s="1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1.25" customHeight="1">
      <c r="A173" s="18"/>
      <c r="B173" s="18"/>
      <c r="C173" s="18"/>
      <c r="D173" s="18"/>
      <c r="E173" s="18"/>
      <c r="F173" s="18"/>
      <c r="G173" s="1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1.25" customHeight="1">
      <c r="A174" s="18"/>
      <c r="B174" s="18"/>
      <c r="C174" s="18"/>
      <c r="D174" s="18"/>
      <c r="E174" s="18"/>
      <c r="F174" s="18"/>
      <c r="G174" s="1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1.25" customHeight="1">
      <c r="A175" s="18"/>
      <c r="B175" s="18"/>
      <c r="C175" s="18"/>
      <c r="D175" s="18"/>
      <c r="E175" s="18"/>
      <c r="F175" s="18"/>
      <c r="G175" s="1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1.25" customHeight="1">
      <c r="A176" s="18"/>
      <c r="B176" s="18"/>
      <c r="C176" s="18"/>
      <c r="D176" s="18"/>
      <c r="E176" s="18"/>
      <c r="F176" s="18"/>
      <c r="G176" s="1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1.25" customHeight="1">
      <c r="A177" s="18"/>
      <c r="B177" s="18"/>
      <c r="C177" s="18"/>
      <c r="D177" s="18"/>
      <c r="E177" s="18"/>
      <c r="F177" s="18"/>
      <c r="G177" s="1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1.25" customHeight="1">
      <c r="A178" s="18"/>
      <c r="B178" s="18"/>
      <c r="C178" s="18"/>
      <c r="D178" s="18"/>
      <c r="E178" s="18"/>
      <c r="F178" s="18"/>
      <c r="G178" s="1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1.25" customHeight="1">
      <c r="A179" s="18"/>
      <c r="B179" s="18"/>
      <c r="C179" s="18"/>
      <c r="D179" s="18"/>
      <c r="E179" s="18"/>
      <c r="F179" s="18"/>
      <c r="G179" s="1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1.25" customHeight="1">
      <c r="A180" s="18"/>
      <c r="B180" s="18"/>
      <c r="C180" s="18"/>
      <c r="D180" s="18"/>
      <c r="E180" s="18"/>
      <c r="F180" s="18"/>
      <c r="G180" s="1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1.25" customHeight="1">
      <c r="A181" s="18"/>
      <c r="B181" s="18"/>
      <c r="C181" s="18"/>
      <c r="D181" s="18"/>
      <c r="E181" s="18"/>
      <c r="F181" s="18"/>
      <c r="G181" s="1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1.25" customHeight="1">
      <c r="A182" s="18"/>
      <c r="B182" s="18"/>
      <c r="C182" s="18"/>
      <c r="D182" s="18"/>
      <c r="E182" s="18"/>
      <c r="F182" s="18"/>
      <c r="G182" s="1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1.25" customHeight="1">
      <c r="A183" s="18"/>
      <c r="B183" s="18"/>
      <c r="C183" s="18"/>
      <c r="D183" s="18"/>
      <c r="E183" s="18"/>
      <c r="F183" s="18"/>
      <c r="G183" s="1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1.25" customHeight="1">
      <c r="A184" s="18"/>
      <c r="B184" s="18"/>
      <c r="C184" s="18"/>
      <c r="D184" s="18"/>
      <c r="E184" s="18"/>
      <c r="F184" s="18"/>
      <c r="G184" s="1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1.25" customHeight="1">
      <c r="A185" s="18"/>
      <c r="B185" s="18"/>
      <c r="C185" s="18"/>
      <c r="D185" s="18"/>
      <c r="E185" s="18"/>
      <c r="F185" s="18"/>
      <c r="G185" s="1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1.25" customHeight="1">
      <c r="A186" s="18"/>
      <c r="B186" s="18"/>
      <c r="C186" s="18"/>
      <c r="D186" s="18"/>
      <c r="E186" s="18"/>
      <c r="F186" s="18"/>
      <c r="G186" s="1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1.25" customHeight="1">
      <c r="A187" s="18"/>
      <c r="B187" s="18"/>
      <c r="C187" s="18"/>
      <c r="D187" s="18"/>
      <c r="E187" s="18"/>
      <c r="F187" s="18"/>
      <c r="G187" s="1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1.25" customHeight="1">
      <c r="A188" s="18"/>
      <c r="B188" s="18"/>
      <c r="C188" s="18"/>
      <c r="D188" s="18"/>
      <c r="E188" s="18"/>
      <c r="F188" s="18"/>
      <c r="G188" s="1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1.25" customHeight="1">
      <c r="A189" s="18"/>
      <c r="B189" s="18"/>
      <c r="C189" s="18"/>
      <c r="D189" s="18"/>
      <c r="E189" s="18"/>
      <c r="F189" s="18"/>
      <c r="G189" s="1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1.25" customHeight="1">
      <c r="A190" s="18"/>
      <c r="B190" s="18"/>
      <c r="C190" s="18"/>
      <c r="D190" s="18"/>
      <c r="E190" s="18"/>
      <c r="F190" s="18"/>
      <c r="G190" s="1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1.25" customHeight="1">
      <c r="A191" s="18"/>
      <c r="B191" s="18"/>
      <c r="C191" s="18"/>
      <c r="D191" s="18"/>
      <c r="E191" s="18"/>
      <c r="F191" s="18"/>
      <c r="G191" s="1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1.25" customHeight="1">
      <c r="A192" s="18"/>
      <c r="B192" s="18"/>
      <c r="C192" s="18"/>
      <c r="D192" s="18"/>
      <c r="E192" s="18"/>
      <c r="F192" s="18"/>
      <c r="G192" s="1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1.25" customHeight="1">
      <c r="A193" s="18"/>
      <c r="B193" s="18"/>
      <c r="C193" s="18"/>
      <c r="D193" s="18"/>
      <c r="E193" s="18"/>
      <c r="F193" s="18"/>
      <c r="G193" s="1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1.25" customHeight="1">
      <c r="A194" s="18"/>
      <c r="B194" s="18"/>
      <c r="C194" s="18"/>
      <c r="D194" s="18"/>
      <c r="E194" s="18"/>
      <c r="F194" s="18"/>
      <c r="G194" s="1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1.25" customHeight="1">
      <c r="A195" s="18"/>
      <c r="B195" s="18"/>
      <c r="C195" s="18"/>
      <c r="D195" s="18"/>
      <c r="E195" s="18"/>
      <c r="F195" s="18"/>
      <c r="G195" s="1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1.25" customHeight="1">
      <c r="A196" s="18"/>
      <c r="B196" s="18"/>
      <c r="C196" s="18"/>
      <c r="D196" s="18"/>
      <c r="E196" s="18"/>
      <c r="F196" s="18"/>
      <c r="G196" s="1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1.25" customHeight="1">
      <c r="A197" s="18"/>
      <c r="B197" s="18"/>
      <c r="C197" s="18"/>
      <c r="D197" s="18"/>
      <c r="E197" s="18"/>
      <c r="F197" s="18"/>
      <c r="G197" s="1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1.25" customHeight="1">
      <c r="A198" s="18"/>
      <c r="B198" s="18"/>
      <c r="C198" s="18"/>
      <c r="D198" s="18"/>
      <c r="E198" s="18"/>
      <c r="F198" s="18"/>
      <c r="G198" s="1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1.25" customHeight="1">
      <c r="A199" s="18"/>
      <c r="B199" s="18"/>
      <c r="C199" s="18"/>
      <c r="D199" s="18"/>
      <c r="E199" s="18"/>
      <c r="F199" s="18"/>
      <c r="G199" s="1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1.25" customHeight="1">
      <c r="A200" s="18"/>
      <c r="B200" s="18"/>
      <c r="C200" s="18"/>
      <c r="D200" s="18"/>
      <c r="E200" s="18"/>
      <c r="F200" s="18"/>
      <c r="G200" s="1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1.25" customHeight="1">
      <c r="A201" s="18"/>
      <c r="B201" s="18"/>
      <c r="C201" s="18"/>
      <c r="D201" s="18"/>
      <c r="E201" s="18"/>
      <c r="F201" s="18"/>
      <c r="G201" s="1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1.25" customHeight="1">
      <c r="A202" s="18"/>
      <c r="B202" s="18"/>
      <c r="C202" s="18"/>
      <c r="D202" s="18"/>
      <c r="E202" s="18"/>
      <c r="F202" s="18"/>
      <c r="G202" s="1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1.25" customHeight="1">
      <c r="A203" s="18"/>
      <c r="B203" s="18"/>
      <c r="C203" s="18"/>
      <c r="D203" s="18"/>
      <c r="E203" s="18"/>
      <c r="F203" s="18"/>
      <c r="G203" s="1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1.25" customHeight="1">
      <c r="A204" s="18"/>
      <c r="B204" s="18"/>
      <c r="C204" s="18"/>
      <c r="D204" s="18"/>
      <c r="E204" s="18"/>
      <c r="F204" s="18"/>
      <c r="G204" s="1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1.25" customHeight="1">
      <c r="A205" s="18"/>
      <c r="B205" s="18"/>
      <c r="C205" s="18"/>
      <c r="D205" s="18"/>
      <c r="E205" s="18"/>
      <c r="F205" s="18"/>
      <c r="G205" s="1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1.25" customHeight="1">
      <c r="A206" s="18"/>
      <c r="B206" s="18"/>
      <c r="C206" s="18"/>
      <c r="D206" s="18"/>
      <c r="E206" s="18"/>
      <c r="F206" s="18"/>
      <c r="G206" s="1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1.25" customHeight="1">
      <c r="A207" s="18"/>
      <c r="B207" s="18"/>
      <c r="C207" s="18"/>
      <c r="D207" s="18"/>
      <c r="E207" s="18"/>
      <c r="F207" s="18"/>
      <c r="G207" s="1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1.25" customHeight="1">
      <c r="A208" s="18"/>
      <c r="B208" s="18"/>
      <c r="C208" s="18"/>
      <c r="D208" s="18"/>
      <c r="E208" s="18"/>
      <c r="F208" s="18"/>
      <c r="G208" s="1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1.25" customHeight="1">
      <c r="A209" s="18"/>
      <c r="B209" s="18"/>
      <c r="C209" s="18"/>
      <c r="D209" s="18"/>
      <c r="E209" s="18"/>
      <c r="F209" s="18"/>
      <c r="G209" s="1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1.25" customHeight="1">
      <c r="A210" s="18"/>
      <c r="B210" s="18"/>
      <c r="C210" s="18"/>
      <c r="D210" s="18"/>
      <c r="E210" s="18"/>
      <c r="F210" s="18"/>
      <c r="G210" s="1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1.25" customHeight="1">
      <c r="A211" s="18"/>
      <c r="B211" s="18"/>
      <c r="C211" s="18"/>
      <c r="D211" s="18"/>
      <c r="E211" s="18"/>
      <c r="F211" s="18"/>
      <c r="G211" s="1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1.25" customHeight="1">
      <c r="A212" s="18"/>
      <c r="B212" s="18"/>
      <c r="C212" s="18"/>
      <c r="D212" s="18"/>
      <c r="E212" s="18"/>
      <c r="F212" s="18"/>
      <c r="G212" s="1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1.25" customHeight="1">
      <c r="A213" s="18"/>
      <c r="B213" s="18"/>
      <c r="C213" s="18"/>
      <c r="D213" s="18"/>
      <c r="E213" s="18"/>
      <c r="F213" s="18"/>
      <c r="G213" s="1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1.25" customHeight="1">
      <c r="A214" s="18"/>
      <c r="B214" s="18"/>
      <c r="C214" s="18"/>
      <c r="D214" s="18"/>
      <c r="E214" s="18"/>
      <c r="F214" s="18"/>
      <c r="G214" s="1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1.25" customHeight="1">
      <c r="A215" s="18"/>
      <c r="B215" s="18"/>
      <c r="C215" s="18"/>
      <c r="D215" s="18"/>
      <c r="E215" s="18"/>
      <c r="F215" s="18"/>
      <c r="G215" s="1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1.25" customHeight="1">
      <c r="A216" s="18"/>
      <c r="B216" s="18"/>
      <c r="C216" s="18"/>
      <c r="D216" s="18"/>
      <c r="E216" s="18"/>
      <c r="F216" s="18"/>
      <c r="G216" s="1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1.25" customHeight="1">
      <c r="A217" s="18"/>
      <c r="B217" s="18"/>
      <c r="C217" s="18"/>
      <c r="D217" s="18"/>
      <c r="E217" s="18"/>
      <c r="F217" s="18"/>
      <c r="G217" s="1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1.25" customHeight="1">
      <c r="A218" s="18"/>
      <c r="B218" s="18"/>
      <c r="C218" s="18"/>
      <c r="D218" s="18"/>
      <c r="E218" s="18"/>
      <c r="F218" s="18"/>
      <c r="G218" s="1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1.25" customHeight="1">
      <c r="A219" s="18"/>
      <c r="B219" s="18"/>
      <c r="C219" s="18"/>
      <c r="D219" s="18"/>
      <c r="E219" s="18"/>
      <c r="F219" s="18"/>
      <c r="G219" s="1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1.25" customHeight="1">
      <c r="A220" s="18"/>
      <c r="B220" s="18"/>
      <c r="C220" s="18"/>
      <c r="D220" s="18"/>
      <c r="E220" s="18"/>
      <c r="F220" s="18"/>
      <c r="G220" s="1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1.25" customHeight="1">
      <c r="A221" s="18"/>
      <c r="B221" s="18"/>
      <c r="C221" s="18"/>
      <c r="D221" s="18"/>
      <c r="E221" s="18"/>
      <c r="F221" s="18"/>
      <c r="G221" s="1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1.25" customHeight="1">
      <c r="A222" s="18"/>
      <c r="B222" s="18"/>
      <c r="C222" s="18"/>
      <c r="D222" s="18"/>
      <c r="E222" s="18"/>
      <c r="F222" s="18"/>
      <c r="G222" s="1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1.25" customHeight="1">
      <c r="A223" s="18"/>
      <c r="B223" s="18"/>
      <c r="C223" s="18"/>
      <c r="D223" s="18"/>
      <c r="E223" s="18"/>
      <c r="F223" s="18"/>
      <c r="G223" s="1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1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dataValidations>
    <dataValidation type="list" allowBlank="1" showErrorMessage="1" sqref="D2:D25">
      <formula1>"Mechanical,Electrical"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25"/>
    <col customWidth="1" min="2" max="2" width="21.38"/>
    <col customWidth="1" min="3" max="3" width="26.0"/>
    <col customWidth="1" min="4" max="4" width="10.88"/>
    <col customWidth="1" min="5" max="5" width="9.63"/>
    <col customWidth="1" min="6" max="6" width="10.0"/>
    <col customWidth="1" min="7" max="7" width="4.88"/>
    <col customWidth="1" min="8" max="8" width="10.0"/>
    <col customWidth="1" min="9" max="9" width="8.5"/>
    <col customWidth="1" min="10" max="10" width="9.0"/>
    <col customWidth="1" min="11" max="11" width="6.75"/>
  </cols>
  <sheetData>
    <row r="1" ht="24.75" customHeight="1">
      <c r="A1" s="2" t="s">
        <v>61</v>
      </c>
      <c r="B1" s="2" t="s">
        <v>62</v>
      </c>
      <c r="C1" s="2" t="s">
        <v>2</v>
      </c>
      <c r="D1" s="2" t="s">
        <v>3</v>
      </c>
      <c r="E1" s="2" t="s">
        <v>63</v>
      </c>
      <c r="F1" s="2" t="s">
        <v>64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1"/>
      <c r="M1" s="21"/>
      <c r="N1" s="21"/>
      <c r="O1" s="21"/>
      <c r="P1" s="21"/>
      <c r="Q1" s="21"/>
      <c r="R1" s="21"/>
      <c r="S1" s="21"/>
      <c r="T1" s="21"/>
      <c r="U1" s="22"/>
      <c r="V1" s="22"/>
      <c r="W1" s="22"/>
      <c r="X1" s="22"/>
    </row>
    <row r="2" ht="15.75" customHeight="1">
      <c r="A2" s="23">
        <v>1.0</v>
      </c>
      <c r="B2" s="23" t="s">
        <v>24</v>
      </c>
      <c r="C2" s="11" t="s">
        <v>65</v>
      </c>
      <c r="D2" s="23" t="s">
        <v>66</v>
      </c>
      <c r="E2" s="24">
        <v>249.48000000000002</v>
      </c>
      <c r="F2" s="24">
        <v>311.71875</v>
      </c>
      <c r="G2" s="25">
        <v>0.28</v>
      </c>
      <c r="H2" s="26">
        <v>399.0</v>
      </c>
      <c r="I2" s="27">
        <v>319.3344</v>
      </c>
      <c r="J2" s="28">
        <f t="shared" ref="J2:J33" si="1">(H2-I2)/I2</f>
        <v>0.2494739057</v>
      </c>
      <c r="K2" s="26">
        <v>499.0</v>
      </c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</row>
    <row r="3" ht="15.75" customHeight="1">
      <c r="A3" s="23">
        <v>2.0</v>
      </c>
      <c r="B3" s="23" t="s">
        <v>11</v>
      </c>
      <c r="C3" s="5" t="s">
        <v>67</v>
      </c>
      <c r="D3" s="23" t="s">
        <v>66</v>
      </c>
      <c r="E3" s="24">
        <v>166.14281249999996</v>
      </c>
      <c r="F3" s="24">
        <v>233.59375</v>
      </c>
      <c r="G3" s="23">
        <v>0.28</v>
      </c>
      <c r="H3" s="23">
        <v>299.0</v>
      </c>
      <c r="I3" s="27">
        <v>212.66279999999995</v>
      </c>
      <c r="J3" s="28">
        <f t="shared" si="1"/>
        <v>0.4059816762</v>
      </c>
      <c r="K3" s="26">
        <v>499.0</v>
      </c>
      <c r="L3" s="21"/>
      <c r="M3" s="21"/>
      <c r="N3" s="21"/>
      <c r="O3" s="21"/>
      <c r="P3" s="21"/>
      <c r="Q3" s="21"/>
      <c r="R3" s="21"/>
      <c r="S3" s="21"/>
      <c r="T3" s="21"/>
      <c r="U3" s="22"/>
      <c r="V3" s="22"/>
      <c r="W3" s="22"/>
      <c r="X3" s="22"/>
    </row>
    <row r="4" ht="15.75" customHeight="1">
      <c r="A4" s="23">
        <v>3.0</v>
      </c>
      <c r="B4" s="23" t="s">
        <v>68</v>
      </c>
      <c r="C4" s="11" t="s">
        <v>69</v>
      </c>
      <c r="D4" s="23" t="s">
        <v>66</v>
      </c>
      <c r="E4" s="23">
        <v>180.0</v>
      </c>
      <c r="F4" s="29">
        <v>233.59375</v>
      </c>
      <c r="G4" s="25">
        <v>0.28</v>
      </c>
      <c r="H4" s="26">
        <v>299.0</v>
      </c>
      <c r="I4" s="27">
        <v>230.4</v>
      </c>
      <c r="J4" s="28">
        <f t="shared" si="1"/>
        <v>0.2977430556</v>
      </c>
      <c r="K4" s="26">
        <v>499.0</v>
      </c>
      <c r="L4" s="21"/>
      <c r="M4" s="21"/>
      <c r="N4" s="21"/>
      <c r="O4" s="21"/>
      <c r="P4" s="21"/>
      <c r="Q4" s="21"/>
      <c r="R4" s="21"/>
      <c r="S4" s="21"/>
      <c r="T4" s="21"/>
      <c r="U4" s="22"/>
      <c r="V4" s="22"/>
      <c r="W4" s="22"/>
      <c r="X4" s="22"/>
    </row>
    <row r="5" ht="15.75" customHeight="1">
      <c r="A5" s="23">
        <v>4.0</v>
      </c>
      <c r="B5" s="23" t="s">
        <v>70</v>
      </c>
      <c r="C5" s="11" t="s">
        <v>71</v>
      </c>
      <c r="D5" s="23" t="s">
        <v>66</v>
      </c>
      <c r="E5" s="29">
        <v>425.0</v>
      </c>
      <c r="F5" s="29">
        <v>546.09375</v>
      </c>
      <c r="G5" s="25">
        <v>0.28</v>
      </c>
      <c r="H5" s="26">
        <v>699.0</v>
      </c>
      <c r="I5" s="30">
        <v>544.0</v>
      </c>
      <c r="J5" s="28">
        <f t="shared" si="1"/>
        <v>0.2849264706</v>
      </c>
      <c r="K5" s="26">
        <v>1299.0</v>
      </c>
      <c r="L5" s="21"/>
      <c r="M5" s="21"/>
      <c r="N5" s="21"/>
      <c r="O5" s="21"/>
      <c r="P5" s="21"/>
      <c r="Q5" s="21"/>
      <c r="R5" s="21"/>
      <c r="S5" s="21"/>
      <c r="T5" s="21"/>
      <c r="U5" s="22"/>
      <c r="V5" s="22"/>
      <c r="W5" s="22"/>
      <c r="X5" s="22"/>
    </row>
    <row r="6" ht="15.75" customHeight="1">
      <c r="A6" s="23">
        <v>5.0</v>
      </c>
      <c r="B6" s="23" t="s">
        <v>72</v>
      </c>
      <c r="C6" s="11" t="s">
        <v>73</v>
      </c>
      <c r="D6" s="23" t="s">
        <v>66</v>
      </c>
      <c r="E6" s="29">
        <v>425.0</v>
      </c>
      <c r="F6" s="29">
        <v>546.09375</v>
      </c>
      <c r="G6" s="25">
        <v>0.28</v>
      </c>
      <c r="H6" s="26">
        <v>699.0</v>
      </c>
      <c r="I6" s="30">
        <v>544.0</v>
      </c>
      <c r="J6" s="28">
        <f t="shared" si="1"/>
        <v>0.2849264706</v>
      </c>
      <c r="K6" s="26">
        <v>1299.0</v>
      </c>
      <c r="L6" s="21"/>
      <c r="M6" s="21"/>
      <c r="N6" s="21"/>
      <c r="O6" s="21"/>
      <c r="P6" s="21"/>
      <c r="Q6" s="21"/>
      <c r="R6" s="21"/>
      <c r="S6" s="21"/>
      <c r="T6" s="21"/>
      <c r="U6" s="22"/>
      <c r="V6" s="22"/>
      <c r="W6" s="22"/>
      <c r="X6" s="22"/>
    </row>
    <row r="7" ht="15.75" customHeight="1">
      <c r="A7" s="23">
        <v>6.0</v>
      </c>
      <c r="B7" s="23" t="s">
        <v>74</v>
      </c>
      <c r="C7" s="31" t="s">
        <v>75</v>
      </c>
      <c r="D7" s="23" t="s">
        <v>66</v>
      </c>
      <c r="E7" s="32">
        <v>120.0</v>
      </c>
      <c r="F7" s="29">
        <v>233.59375</v>
      </c>
      <c r="G7" s="25">
        <v>0.28</v>
      </c>
      <c r="H7" s="32">
        <v>299.0</v>
      </c>
      <c r="I7" s="30">
        <v>153.6</v>
      </c>
      <c r="J7" s="28">
        <f t="shared" si="1"/>
        <v>0.9466145833</v>
      </c>
      <c r="K7" s="26">
        <v>399.0</v>
      </c>
      <c r="L7" s="33"/>
      <c r="M7" s="21"/>
      <c r="N7" s="21"/>
      <c r="O7" s="21"/>
      <c r="P7" s="21"/>
      <c r="Q7" s="21"/>
      <c r="R7" s="21"/>
      <c r="S7" s="21"/>
      <c r="T7" s="21"/>
      <c r="U7" s="22"/>
      <c r="V7" s="22"/>
      <c r="W7" s="22"/>
      <c r="X7" s="22"/>
    </row>
    <row r="8" ht="15.75" customHeight="1">
      <c r="A8" s="23">
        <v>7.0</v>
      </c>
      <c r="B8" s="23" t="s">
        <v>76</v>
      </c>
      <c r="C8" s="34" t="s">
        <v>60</v>
      </c>
      <c r="D8" s="23" t="s">
        <v>66</v>
      </c>
      <c r="E8" s="32">
        <v>120.0</v>
      </c>
      <c r="F8" s="29">
        <v>233.59375</v>
      </c>
      <c r="G8" s="25">
        <v>0.28</v>
      </c>
      <c r="H8" s="32">
        <v>299.0</v>
      </c>
      <c r="I8" s="30">
        <v>153.6</v>
      </c>
      <c r="J8" s="28">
        <f t="shared" si="1"/>
        <v>0.9466145833</v>
      </c>
      <c r="K8" s="26">
        <v>399.0</v>
      </c>
      <c r="L8" s="33"/>
      <c r="M8" s="21"/>
      <c r="N8" s="21"/>
      <c r="O8" s="21"/>
      <c r="P8" s="21"/>
      <c r="Q8" s="21"/>
      <c r="R8" s="21"/>
      <c r="S8" s="21"/>
      <c r="T8" s="21"/>
      <c r="U8" s="22"/>
      <c r="V8" s="22"/>
      <c r="W8" s="22"/>
      <c r="X8" s="22"/>
    </row>
    <row r="9" ht="15.75" customHeight="1">
      <c r="A9" s="23">
        <v>8.0</v>
      </c>
      <c r="B9" s="23" t="s">
        <v>77</v>
      </c>
      <c r="C9" s="11" t="s">
        <v>78</v>
      </c>
      <c r="D9" s="23" t="s">
        <v>66</v>
      </c>
      <c r="E9" s="24">
        <v>823.2</v>
      </c>
      <c r="F9" s="24">
        <v>972.65625</v>
      </c>
      <c r="G9" s="35">
        <v>0.28</v>
      </c>
      <c r="H9" s="35">
        <v>1245.0</v>
      </c>
      <c r="I9" s="36">
        <v>1053.6960000000001</v>
      </c>
      <c r="J9" s="28">
        <f t="shared" si="1"/>
        <v>0.1815552114</v>
      </c>
      <c r="K9" s="23">
        <v>1599.0</v>
      </c>
      <c r="L9" s="21"/>
      <c r="M9" s="21"/>
      <c r="N9" s="21"/>
      <c r="O9" s="21"/>
      <c r="P9" s="21"/>
      <c r="Q9" s="21"/>
      <c r="R9" s="21"/>
      <c r="S9" s="21"/>
      <c r="T9" s="21"/>
      <c r="U9" s="22"/>
      <c r="V9" s="22"/>
      <c r="W9" s="22"/>
      <c r="X9" s="22"/>
    </row>
    <row r="10" ht="15.75" customHeight="1">
      <c r="A10" s="23">
        <v>9.0</v>
      </c>
      <c r="B10" s="23" t="s">
        <v>79</v>
      </c>
      <c r="C10" s="11" t="s">
        <v>80</v>
      </c>
      <c r="D10" s="23" t="s">
        <v>66</v>
      </c>
      <c r="E10" s="24">
        <v>283.59375</v>
      </c>
      <c r="F10" s="24">
        <v>371.09375</v>
      </c>
      <c r="G10" s="35">
        <v>0.28</v>
      </c>
      <c r="H10" s="36">
        <v>475.0</v>
      </c>
      <c r="I10" s="35">
        <v>363.0</v>
      </c>
      <c r="J10" s="28">
        <f t="shared" si="1"/>
        <v>0.3085399449</v>
      </c>
      <c r="K10" s="23">
        <v>799.0</v>
      </c>
      <c r="L10" s="21"/>
      <c r="M10" s="21"/>
      <c r="N10" s="21"/>
      <c r="O10" s="21"/>
      <c r="P10" s="21"/>
      <c r="Q10" s="21"/>
      <c r="R10" s="21"/>
      <c r="S10" s="21"/>
      <c r="T10" s="21"/>
      <c r="U10" s="22"/>
      <c r="V10" s="22"/>
      <c r="W10" s="22"/>
      <c r="X10" s="22"/>
    </row>
    <row r="11" ht="15.75" customHeight="1">
      <c r="A11" s="23">
        <v>10.0</v>
      </c>
      <c r="B11" s="23" t="s">
        <v>32</v>
      </c>
      <c r="C11" s="11" t="s">
        <v>81</v>
      </c>
      <c r="D11" s="23" t="s">
        <v>66</v>
      </c>
      <c r="E11" s="24">
        <v>135.744</v>
      </c>
      <c r="F11" s="24">
        <v>194.53125</v>
      </c>
      <c r="G11" s="35">
        <v>0.28</v>
      </c>
      <c r="H11" s="36">
        <v>249.0</v>
      </c>
      <c r="I11" s="36">
        <v>173.75232</v>
      </c>
      <c r="J11" s="28">
        <f t="shared" si="1"/>
        <v>0.43307439</v>
      </c>
      <c r="K11" s="23">
        <v>349.0</v>
      </c>
      <c r="L11" s="21"/>
      <c r="M11" s="21"/>
      <c r="N11" s="21"/>
      <c r="O11" s="21"/>
      <c r="P11" s="21"/>
      <c r="Q11" s="21"/>
      <c r="R11" s="21"/>
      <c r="S11" s="21"/>
      <c r="T11" s="21"/>
      <c r="U11" s="22"/>
      <c r="V11" s="22"/>
      <c r="W11" s="22"/>
      <c r="X11" s="22"/>
    </row>
    <row r="12" ht="15.75" customHeight="1">
      <c r="A12" s="23">
        <v>11.0</v>
      </c>
      <c r="B12" s="23" t="s">
        <v>82</v>
      </c>
      <c r="C12" s="11" t="s">
        <v>83</v>
      </c>
      <c r="D12" s="23" t="s">
        <v>66</v>
      </c>
      <c r="E12" s="36">
        <v>1306.368</v>
      </c>
      <c r="F12" s="36">
        <v>1522.65625</v>
      </c>
      <c r="G12" s="35">
        <v>0.28</v>
      </c>
      <c r="H12" s="35">
        <v>1949.0</v>
      </c>
      <c r="I12" s="36">
        <v>1672.15104</v>
      </c>
      <c r="J12" s="28">
        <f t="shared" si="1"/>
        <v>0.1655645653</v>
      </c>
      <c r="K12" s="23">
        <v>2799.0</v>
      </c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22"/>
      <c r="W12" s="22"/>
      <c r="X12" s="22"/>
    </row>
    <row r="13" ht="15.75" customHeight="1">
      <c r="A13" s="23">
        <v>12.0</v>
      </c>
      <c r="B13" s="23" t="s">
        <v>84</v>
      </c>
      <c r="C13" s="5" t="s">
        <v>85</v>
      </c>
      <c r="D13" s="23" t="s">
        <v>66</v>
      </c>
      <c r="E13" s="23">
        <v>144.0</v>
      </c>
      <c r="F13" s="36">
        <v>194.53125</v>
      </c>
      <c r="G13" s="35">
        <v>0.28</v>
      </c>
      <c r="H13" s="35">
        <v>249.0</v>
      </c>
      <c r="I13" s="36">
        <v>184.32</v>
      </c>
      <c r="J13" s="28">
        <f t="shared" si="1"/>
        <v>0.3509114583</v>
      </c>
      <c r="K13" s="23">
        <v>399.0</v>
      </c>
      <c r="L13" s="21"/>
      <c r="M13" s="21"/>
      <c r="N13" s="21"/>
      <c r="O13" s="21"/>
      <c r="P13" s="21"/>
      <c r="Q13" s="21"/>
      <c r="R13" s="21"/>
      <c r="S13" s="21"/>
      <c r="T13" s="21"/>
      <c r="U13" s="22"/>
      <c r="V13" s="22"/>
      <c r="W13" s="22"/>
      <c r="X13" s="22"/>
    </row>
    <row r="14" ht="15.75" customHeight="1">
      <c r="A14" s="23">
        <v>13.0</v>
      </c>
      <c r="B14" s="23" t="s">
        <v>86</v>
      </c>
      <c r="C14" s="11" t="s">
        <v>87</v>
      </c>
      <c r="D14" s="23" t="s">
        <v>66</v>
      </c>
      <c r="E14" s="24">
        <v>51.40800000000001</v>
      </c>
      <c r="F14" s="36">
        <v>77.34375</v>
      </c>
      <c r="G14" s="35">
        <v>0.28</v>
      </c>
      <c r="H14" s="35">
        <v>99.0</v>
      </c>
      <c r="I14" s="36">
        <v>65.80224000000001</v>
      </c>
      <c r="J14" s="28">
        <f t="shared" si="1"/>
        <v>0.5045080532</v>
      </c>
      <c r="K14" s="23">
        <v>199.0</v>
      </c>
      <c r="L14" s="21"/>
      <c r="M14" s="21"/>
      <c r="N14" s="21"/>
      <c r="O14" s="21"/>
      <c r="P14" s="21"/>
      <c r="Q14" s="21"/>
      <c r="R14" s="21"/>
      <c r="S14" s="21"/>
      <c r="T14" s="21"/>
      <c r="U14" s="22"/>
      <c r="V14" s="22"/>
      <c r="W14" s="22"/>
      <c r="X14" s="22"/>
    </row>
    <row r="15" ht="15.75" customHeight="1">
      <c r="A15" s="23">
        <v>14.0</v>
      </c>
      <c r="B15" s="23" t="s">
        <v>88</v>
      </c>
      <c r="C15" s="11" t="s">
        <v>89</v>
      </c>
      <c r="D15" s="23" t="s">
        <v>66</v>
      </c>
      <c r="E15" s="23">
        <v>440.0</v>
      </c>
      <c r="F15" s="37">
        <v>546.09375</v>
      </c>
      <c r="G15" s="35">
        <v>0.28</v>
      </c>
      <c r="H15" s="35">
        <v>699.0</v>
      </c>
      <c r="I15" s="36">
        <v>563.2</v>
      </c>
      <c r="J15" s="28">
        <f t="shared" si="1"/>
        <v>0.2411221591</v>
      </c>
      <c r="K15" s="23">
        <v>1099.0</v>
      </c>
      <c r="L15" s="21"/>
      <c r="M15" s="21"/>
      <c r="N15" s="21"/>
      <c r="O15" s="21"/>
      <c r="P15" s="21"/>
      <c r="Q15" s="21"/>
      <c r="R15" s="21"/>
      <c r="S15" s="21"/>
      <c r="T15" s="21"/>
      <c r="U15" s="22"/>
      <c r="V15" s="22"/>
      <c r="W15" s="22"/>
      <c r="X15" s="22"/>
    </row>
    <row r="16" ht="15.75" customHeight="1">
      <c r="A16" s="23">
        <v>15.0</v>
      </c>
      <c r="B16" s="23" t="s">
        <v>90</v>
      </c>
      <c r="C16" s="11" t="s">
        <v>91</v>
      </c>
      <c r="D16" s="23" t="s">
        <v>66</v>
      </c>
      <c r="E16" s="23">
        <v>2080.0</v>
      </c>
      <c r="F16" s="37">
        <v>2577.34375</v>
      </c>
      <c r="G16" s="35">
        <v>0.28</v>
      </c>
      <c r="H16" s="35">
        <v>3299.0</v>
      </c>
      <c r="I16" s="36">
        <v>2662.4</v>
      </c>
      <c r="J16" s="28">
        <f t="shared" si="1"/>
        <v>0.2391075721</v>
      </c>
      <c r="K16" s="23">
        <v>3999.0</v>
      </c>
      <c r="L16" s="21"/>
      <c r="M16" s="21"/>
      <c r="N16" s="21"/>
      <c r="O16" s="21"/>
      <c r="P16" s="21"/>
      <c r="Q16" s="21"/>
      <c r="R16" s="21"/>
      <c r="S16" s="21"/>
      <c r="T16" s="21"/>
      <c r="U16" s="22"/>
      <c r="V16" s="22"/>
      <c r="W16" s="22"/>
      <c r="X16" s="22"/>
    </row>
    <row r="17" ht="15.75" customHeight="1">
      <c r="A17" s="23">
        <v>16.0</v>
      </c>
      <c r="B17" s="23" t="s">
        <v>92</v>
      </c>
      <c r="C17" s="11" t="s">
        <v>93</v>
      </c>
      <c r="D17" s="23" t="s">
        <v>66</v>
      </c>
      <c r="E17" s="23">
        <v>375.0</v>
      </c>
      <c r="F17" s="37">
        <v>507.03125</v>
      </c>
      <c r="G17" s="35">
        <v>0.28</v>
      </c>
      <c r="H17" s="35">
        <v>649.0</v>
      </c>
      <c r="I17" s="36">
        <v>480.0</v>
      </c>
      <c r="J17" s="28">
        <f t="shared" si="1"/>
        <v>0.3520833333</v>
      </c>
      <c r="K17" s="23">
        <v>899.0</v>
      </c>
      <c r="L17" s="21"/>
      <c r="M17" s="21"/>
      <c r="N17" s="21"/>
      <c r="O17" s="21"/>
      <c r="P17" s="21"/>
      <c r="Q17" s="21"/>
      <c r="R17" s="21"/>
      <c r="S17" s="21"/>
      <c r="T17" s="21"/>
      <c r="U17" s="22"/>
      <c r="V17" s="22"/>
      <c r="W17" s="22"/>
      <c r="X17" s="22"/>
    </row>
    <row r="18" ht="15.75" customHeight="1">
      <c r="A18" s="23">
        <v>17.0</v>
      </c>
      <c r="B18" s="23" t="s">
        <v>94</v>
      </c>
      <c r="C18" s="11" t="s">
        <v>95</v>
      </c>
      <c r="D18" s="23" t="s">
        <v>66</v>
      </c>
      <c r="E18" s="23">
        <v>449.0</v>
      </c>
      <c r="F18" s="37">
        <v>585.15625</v>
      </c>
      <c r="G18" s="23">
        <v>0.28</v>
      </c>
      <c r="H18" s="23">
        <v>749.0</v>
      </c>
      <c r="I18" s="24">
        <v>574.72</v>
      </c>
      <c r="J18" s="28">
        <f t="shared" si="1"/>
        <v>0.3032433185</v>
      </c>
      <c r="K18" s="23">
        <v>900.0</v>
      </c>
      <c r="L18" s="21"/>
      <c r="M18" s="21"/>
      <c r="N18" s="21"/>
      <c r="O18" s="21"/>
      <c r="P18" s="21"/>
      <c r="Q18" s="21"/>
      <c r="R18" s="21"/>
      <c r="S18" s="21"/>
      <c r="T18" s="21"/>
      <c r="U18" s="22"/>
      <c r="V18" s="22"/>
      <c r="W18" s="22"/>
      <c r="X18" s="22"/>
    </row>
    <row r="19" ht="15.75" customHeight="1">
      <c r="A19" s="23">
        <v>18.0</v>
      </c>
      <c r="B19" s="23" t="s">
        <v>96</v>
      </c>
      <c r="C19" s="11" t="s">
        <v>97</v>
      </c>
      <c r="D19" s="23" t="s">
        <v>66</v>
      </c>
      <c r="E19" s="23">
        <v>1800.0</v>
      </c>
      <c r="F19" s="23">
        <v>2000.0</v>
      </c>
      <c r="G19" s="23">
        <v>0.28</v>
      </c>
      <c r="H19" s="23">
        <v>2560.0</v>
      </c>
      <c r="I19" s="24">
        <v>2304.0</v>
      </c>
      <c r="J19" s="28">
        <f t="shared" si="1"/>
        <v>0.1111111111</v>
      </c>
      <c r="K19" s="23">
        <v>3299.0</v>
      </c>
      <c r="L19" s="21"/>
      <c r="M19" s="21"/>
      <c r="N19" s="21"/>
      <c r="O19" s="21"/>
      <c r="P19" s="21"/>
      <c r="Q19" s="21"/>
      <c r="R19" s="21"/>
      <c r="S19" s="21"/>
      <c r="T19" s="21"/>
      <c r="U19" s="22"/>
      <c r="V19" s="22"/>
      <c r="W19" s="22"/>
      <c r="X19" s="22"/>
    </row>
    <row r="20" ht="15.75" customHeight="1">
      <c r="A20" s="23">
        <v>26.0</v>
      </c>
      <c r="B20" s="23" t="s">
        <v>28</v>
      </c>
      <c r="C20" s="11" t="s">
        <v>98</v>
      </c>
      <c r="D20" s="23" t="s">
        <v>66</v>
      </c>
      <c r="E20" s="24">
        <v>344.736</v>
      </c>
      <c r="F20" s="37">
        <v>428.90625</v>
      </c>
      <c r="G20" s="35">
        <v>0.28</v>
      </c>
      <c r="H20" s="35">
        <v>549.0</v>
      </c>
      <c r="I20" s="36">
        <v>441.26207999999997</v>
      </c>
      <c r="J20" s="28">
        <f t="shared" si="1"/>
        <v>0.2441585735</v>
      </c>
      <c r="K20" s="23">
        <v>699.0</v>
      </c>
      <c r="L20" s="21"/>
      <c r="M20" s="21"/>
      <c r="N20" s="21"/>
      <c r="O20" s="21"/>
      <c r="P20" s="21"/>
      <c r="Q20" s="21"/>
      <c r="R20" s="21"/>
      <c r="S20" s="21"/>
      <c r="T20" s="21"/>
      <c r="U20" s="22"/>
      <c r="V20" s="22"/>
      <c r="W20" s="22"/>
      <c r="X20" s="22"/>
    </row>
    <row r="21" ht="15.75" customHeight="1">
      <c r="A21" s="23">
        <v>27.0</v>
      </c>
      <c r="B21" s="23" t="s">
        <v>99</v>
      </c>
      <c r="C21" s="5" t="s">
        <v>100</v>
      </c>
      <c r="D21" s="23" t="s">
        <v>66</v>
      </c>
      <c r="E21" s="23">
        <v>250.0</v>
      </c>
      <c r="F21" s="37">
        <v>507.03125</v>
      </c>
      <c r="G21" s="35">
        <v>0.28</v>
      </c>
      <c r="H21" s="35">
        <v>649.0</v>
      </c>
      <c r="I21" s="36">
        <v>320.0</v>
      </c>
      <c r="J21" s="28">
        <f t="shared" si="1"/>
        <v>1.028125</v>
      </c>
      <c r="K21" s="23">
        <v>799.0</v>
      </c>
      <c r="L21" s="21"/>
      <c r="M21" s="21"/>
      <c r="N21" s="21"/>
      <c r="O21" s="21"/>
      <c r="P21" s="21"/>
      <c r="Q21" s="21"/>
      <c r="R21" s="21"/>
      <c r="S21" s="21"/>
      <c r="T21" s="21"/>
      <c r="U21" s="22"/>
      <c r="V21" s="22"/>
      <c r="W21" s="22"/>
      <c r="X21" s="22"/>
    </row>
    <row r="22" ht="15.75" customHeight="1">
      <c r="A22" s="23">
        <v>28.0</v>
      </c>
      <c r="B22" s="23" t="s">
        <v>101</v>
      </c>
      <c r="C22" s="5" t="s">
        <v>102</v>
      </c>
      <c r="D22" s="23" t="s">
        <v>66</v>
      </c>
      <c r="E22" s="23">
        <v>225.0</v>
      </c>
      <c r="F22" s="24">
        <v>350.78125</v>
      </c>
      <c r="G22" s="35">
        <v>0.28</v>
      </c>
      <c r="H22" s="35">
        <v>449.0</v>
      </c>
      <c r="I22" s="36">
        <v>288.0</v>
      </c>
      <c r="J22" s="28">
        <f t="shared" si="1"/>
        <v>0.5590277778</v>
      </c>
      <c r="K22" s="23">
        <v>599.0</v>
      </c>
      <c r="L22" s="21"/>
      <c r="M22" s="21"/>
      <c r="N22" s="21"/>
      <c r="O22" s="21"/>
      <c r="P22" s="21"/>
      <c r="Q22" s="21"/>
      <c r="R22" s="21"/>
      <c r="S22" s="21"/>
      <c r="T22" s="21"/>
      <c r="U22" s="22"/>
      <c r="V22" s="22"/>
      <c r="W22" s="22"/>
      <c r="X22" s="22"/>
    </row>
    <row r="23" ht="15.75" customHeight="1">
      <c r="A23" s="23">
        <v>29.0</v>
      </c>
      <c r="B23" s="23" t="s">
        <v>103</v>
      </c>
      <c r="C23" s="11" t="s">
        <v>104</v>
      </c>
      <c r="D23" s="23" t="s">
        <v>66</v>
      </c>
      <c r="E23" s="23">
        <v>120.0</v>
      </c>
      <c r="F23" s="24">
        <v>194.53125</v>
      </c>
      <c r="G23" s="35">
        <v>0.28</v>
      </c>
      <c r="H23" s="35">
        <v>249.0</v>
      </c>
      <c r="I23" s="36">
        <v>153.6</v>
      </c>
      <c r="J23" s="28">
        <f t="shared" si="1"/>
        <v>0.62109375</v>
      </c>
      <c r="K23" s="23">
        <v>399.0</v>
      </c>
      <c r="L23" s="21"/>
      <c r="M23" s="21"/>
      <c r="N23" s="21"/>
      <c r="O23" s="21"/>
      <c r="P23" s="21"/>
      <c r="Q23" s="21"/>
      <c r="R23" s="21"/>
      <c r="S23" s="21"/>
      <c r="T23" s="21"/>
      <c r="U23" s="22"/>
      <c r="V23" s="22"/>
      <c r="W23" s="22"/>
      <c r="X23" s="22"/>
    </row>
    <row r="24" ht="15.75" customHeight="1">
      <c r="A24" s="23">
        <v>30.0</v>
      </c>
      <c r="B24" s="23" t="s">
        <v>105</v>
      </c>
      <c r="C24" s="5" t="s">
        <v>106</v>
      </c>
      <c r="D24" s="23" t="s">
        <v>66</v>
      </c>
      <c r="E24" s="24">
        <v>450.24</v>
      </c>
      <c r="F24" s="24">
        <v>546.09375</v>
      </c>
      <c r="G24" s="35">
        <v>0.28</v>
      </c>
      <c r="H24" s="35">
        <v>699.0</v>
      </c>
      <c r="I24" s="36">
        <v>576.3072000000001</v>
      </c>
      <c r="J24" s="28">
        <f t="shared" si="1"/>
        <v>0.2128947894</v>
      </c>
      <c r="K24" s="23">
        <v>849.0</v>
      </c>
      <c r="L24" s="21"/>
      <c r="M24" s="21"/>
      <c r="N24" s="21"/>
      <c r="O24" s="21"/>
      <c r="P24" s="21"/>
      <c r="Q24" s="21"/>
      <c r="R24" s="21"/>
      <c r="S24" s="21"/>
      <c r="T24" s="21"/>
      <c r="U24" s="22"/>
      <c r="V24" s="22"/>
      <c r="W24" s="22"/>
      <c r="X24" s="22"/>
    </row>
    <row r="25" ht="15.75" customHeight="1">
      <c r="A25" s="23">
        <v>32.0</v>
      </c>
      <c r="B25" s="23" t="s">
        <v>14</v>
      </c>
      <c r="C25" s="5" t="s">
        <v>107</v>
      </c>
      <c r="D25" s="23" t="s">
        <v>66</v>
      </c>
      <c r="E25" s="23">
        <v>362.0</v>
      </c>
      <c r="F25" s="24">
        <v>467.96875</v>
      </c>
      <c r="G25" s="35">
        <v>0.28</v>
      </c>
      <c r="H25" s="23">
        <v>599.0</v>
      </c>
      <c r="I25" s="36">
        <v>463.36</v>
      </c>
      <c r="J25" s="28">
        <f t="shared" si="1"/>
        <v>0.2927313536</v>
      </c>
      <c r="K25" s="23">
        <v>999.0</v>
      </c>
      <c r="L25" s="21"/>
      <c r="M25" s="21"/>
      <c r="N25" s="21"/>
      <c r="O25" s="21"/>
      <c r="P25" s="21"/>
      <c r="Q25" s="21"/>
      <c r="R25" s="21"/>
      <c r="S25" s="21"/>
      <c r="T25" s="21"/>
      <c r="U25" s="22"/>
      <c r="V25" s="22"/>
      <c r="W25" s="22"/>
      <c r="X25" s="22"/>
    </row>
    <row r="26" ht="15.75" customHeight="1">
      <c r="A26" s="23">
        <v>33.0</v>
      </c>
      <c r="B26" s="23" t="s">
        <v>108</v>
      </c>
      <c r="C26" s="5" t="s">
        <v>109</v>
      </c>
      <c r="D26" s="23" t="s">
        <v>66</v>
      </c>
      <c r="E26" s="35">
        <v>160.0</v>
      </c>
      <c r="F26" s="24">
        <v>233.59375</v>
      </c>
      <c r="G26" s="35">
        <v>0.28</v>
      </c>
      <c r="H26" s="23">
        <v>299.0</v>
      </c>
      <c r="I26" s="36">
        <v>204.8</v>
      </c>
      <c r="J26" s="28">
        <f t="shared" si="1"/>
        <v>0.4599609375</v>
      </c>
      <c r="K26" s="23">
        <v>799.0</v>
      </c>
      <c r="L26" s="21"/>
      <c r="M26" s="21"/>
      <c r="N26" s="21"/>
      <c r="O26" s="21"/>
      <c r="P26" s="21"/>
      <c r="Q26" s="21"/>
      <c r="R26" s="21"/>
      <c r="S26" s="21"/>
      <c r="T26" s="21"/>
      <c r="U26" s="22"/>
      <c r="V26" s="22"/>
      <c r="W26" s="22"/>
      <c r="X26" s="22"/>
    </row>
    <row r="27" ht="15.75" customHeight="1">
      <c r="A27" s="23">
        <v>19.0</v>
      </c>
      <c r="B27" s="23" t="s">
        <v>110</v>
      </c>
      <c r="C27" s="38"/>
      <c r="D27" s="23" t="s">
        <v>111</v>
      </c>
      <c r="E27" s="23">
        <v>2041.0</v>
      </c>
      <c r="F27" s="24">
        <v>2342.96875</v>
      </c>
      <c r="G27" s="35">
        <v>0.28</v>
      </c>
      <c r="H27" s="35">
        <v>2999.0</v>
      </c>
      <c r="I27" s="36">
        <v>2612.48</v>
      </c>
      <c r="J27" s="28">
        <f t="shared" si="1"/>
        <v>0.1479513719</v>
      </c>
      <c r="K27" s="23">
        <v>3999.0</v>
      </c>
      <c r="L27" s="21"/>
      <c r="M27" s="21"/>
      <c r="N27" s="21"/>
      <c r="O27" s="21"/>
      <c r="P27" s="21"/>
      <c r="Q27" s="21"/>
      <c r="R27" s="21"/>
      <c r="S27" s="21"/>
      <c r="T27" s="21"/>
      <c r="U27" s="22"/>
      <c r="V27" s="22"/>
      <c r="W27" s="22"/>
      <c r="X27" s="22"/>
    </row>
    <row r="28" ht="15.75" customHeight="1">
      <c r="A28" s="23">
        <v>20.0</v>
      </c>
      <c r="B28" s="23" t="s">
        <v>112</v>
      </c>
      <c r="C28" s="5" t="s">
        <v>113</v>
      </c>
      <c r="D28" s="23" t="s">
        <v>111</v>
      </c>
      <c r="E28" s="24">
        <v>1493.8858695652175</v>
      </c>
      <c r="F28" s="24">
        <v>1717.96875</v>
      </c>
      <c r="G28" s="35">
        <v>0.28</v>
      </c>
      <c r="H28" s="35">
        <v>2199.0</v>
      </c>
      <c r="I28" s="36">
        <v>1912.1739130434785</v>
      </c>
      <c r="J28" s="28">
        <f t="shared" si="1"/>
        <v>0.15</v>
      </c>
      <c r="K28" s="23">
        <v>2799.0</v>
      </c>
      <c r="L28" s="21"/>
      <c r="M28" s="21"/>
      <c r="N28" s="21"/>
      <c r="O28" s="21"/>
      <c r="P28" s="21"/>
      <c r="Q28" s="21"/>
      <c r="R28" s="21"/>
      <c r="S28" s="21"/>
      <c r="T28" s="21"/>
      <c r="U28" s="22"/>
      <c r="V28" s="22"/>
      <c r="W28" s="22"/>
      <c r="X28" s="22"/>
    </row>
    <row r="29" ht="15.75" customHeight="1">
      <c r="A29" s="23">
        <v>21.0</v>
      </c>
      <c r="B29" s="23" t="s">
        <v>114</v>
      </c>
      <c r="C29" s="39" t="s">
        <v>115</v>
      </c>
      <c r="D29" s="23" t="s">
        <v>111</v>
      </c>
      <c r="E29" s="24">
        <v>610.733695652174</v>
      </c>
      <c r="F29" s="24">
        <v>702.34375</v>
      </c>
      <c r="G29" s="35">
        <v>0.28</v>
      </c>
      <c r="H29" s="35">
        <v>899.0</v>
      </c>
      <c r="I29" s="36">
        <v>781.7391304347827</v>
      </c>
      <c r="J29" s="28">
        <f t="shared" si="1"/>
        <v>0.15</v>
      </c>
      <c r="K29" s="23">
        <v>1099.0</v>
      </c>
      <c r="L29" s="21"/>
      <c r="M29" s="21"/>
      <c r="N29" s="21"/>
      <c r="O29" s="21"/>
      <c r="P29" s="21"/>
      <c r="Q29" s="21"/>
      <c r="R29" s="21"/>
      <c r="S29" s="21"/>
      <c r="T29" s="21"/>
      <c r="U29" s="22"/>
      <c r="V29" s="22"/>
      <c r="W29" s="22"/>
      <c r="X29" s="22"/>
    </row>
    <row r="30" ht="15.75" customHeight="1">
      <c r="A30" s="23">
        <v>22.0</v>
      </c>
      <c r="B30" s="23" t="s">
        <v>55</v>
      </c>
      <c r="C30" s="13" t="s">
        <v>116</v>
      </c>
      <c r="D30" s="23" t="s">
        <v>111</v>
      </c>
      <c r="E30" s="23">
        <v>509.0</v>
      </c>
      <c r="F30" s="24">
        <v>585.15625</v>
      </c>
      <c r="G30" s="35">
        <v>0.28</v>
      </c>
      <c r="H30" s="35">
        <v>749.0</v>
      </c>
      <c r="I30" s="36">
        <v>651.52</v>
      </c>
      <c r="J30" s="28">
        <f t="shared" si="1"/>
        <v>0.1496193517</v>
      </c>
      <c r="K30" s="23">
        <v>999.0</v>
      </c>
      <c r="L30" s="21"/>
      <c r="M30" s="21"/>
      <c r="N30" s="21"/>
      <c r="O30" s="21"/>
      <c r="P30" s="21"/>
      <c r="Q30" s="21"/>
      <c r="R30" s="21"/>
      <c r="S30" s="21"/>
      <c r="T30" s="21"/>
      <c r="U30" s="22"/>
      <c r="V30" s="22"/>
      <c r="W30" s="22"/>
      <c r="X30" s="22"/>
    </row>
    <row r="31" ht="15.75" customHeight="1">
      <c r="A31" s="23">
        <v>23.0</v>
      </c>
      <c r="B31" s="23" t="s">
        <v>117</v>
      </c>
      <c r="C31" s="40" t="s">
        <v>118</v>
      </c>
      <c r="D31" s="23" t="s">
        <v>111</v>
      </c>
      <c r="E31" s="23">
        <v>4975.0</v>
      </c>
      <c r="F31" s="24">
        <v>5780.46875</v>
      </c>
      <c r="G31" s="35">
        <v>0.28</v>
      </c>
      <c r="H31" s="36">
        <v>7399.0</v>
      </c>
      <c r="I31" s="36">
        <v>6368.0</v>
      </c>
      <c r="J31" s="28">
        <f t="shared" si="1"/>
        <v>0.1619032663</v>
      </c>
      <c r="K31" s="23">
        <v>8499.0</v>
      </c>
      <c r="L31" s="21"/>
      <c r="M31" s="21"/>
      <c r="N31" s="21"/>
      <c r="O31" s="21"/>
      <c r="P31" s="21"/>
      <c r="Q31" s="21"/>
      <c r="R31" s="21"/>
      <c r="S31" s="21"/>
      <c r="T31" s="21"/>
      <c r="U31" s="22"/>
      <c r="V31" s="22"/>
      <c r="W31" s="22"/>
      <c r="X31" s="22"/>
    </row>
    <row r="32" ht="15.75" customHeight="1">
      <c r="A32" s="23">
        <v>24.0</v>
      </c>
      <c r="B32" s="23" t="s">
        <v>119</v>
      </c>
      <c r="C32" s="11" t="s">
        <v>120</v>
      </c>
      <c r="D32" s="23" t="s">
        <v>111</v>
      </c>
      <c r="E32" s="23">
        <v>193.0</v>
      </c>
      <c r="F32" s="24">
        <v>233.59375</v>
      </c>
      <c r="G32" s="35">
        <v>0.28</v>
      </c>
      <c r="H32" s="35">
        <v>299.0</v>
      </c>
      <c r="I32" s="36">
        <v>247.04</v>
      </c>
      <c r="J32" s="28">
        <f t="shared" si="1"/>
        <v>0.2103303109</v>
      </c>
      <c r="K32" s="23">
        <v>399.0</v>
      </c>
      <c r="L32" s="21"/>
      <c r="M32" s="21"/>
      <c r="N32" s="21"/>
      <c r="O32" s="21"/>
      <c r="P32" s="21"/>
      <c r="Q32" s="21"/>
      <c r="R32" s="21"/>
      <c r="S32" s="21"/>
      <c r="T32" s="21"/>
      <c r="U32" s="22"/>
      <c r="V32" s="22"/>
      <c r="W32" s="22"/>
      <c r="X32" s="22"/>
    </row>
    <row r="33" ht="15.75" customHeight="1">
      <c r="A33" s="23">
        <v>25.0</v>
      </c>
      <c r="B33" s="23" t="s">
        <v>121</v>
      </c>
      <c r="C33" s="11" t="s">
        <v>122</v>
      </c>
      <c r="D33" s="23" t="s">
        <v>111</v>
      </c>
      <c r="E33" s="23">
        <v>193.0</v>
      </c>
      <c r="F33" s="24">
        <v>233.59375</v>
      </c>
      <c r="G33" s="35">
        <v>0.28</v>
      </c>
      <c r="H33" s="35">
        <v>299.0</v>
      </c>
      <c r="I33" s="36">
        <v>247.04</v>
      </c>
      <c r="J33" s="28">
        <f t="shared" si="1"/>
        <v>0.2103303109</v>
      </c>
      <c r="K33" s="23">
        <v>399.0</v>
      </c>
      <c r="L33" s="21"/>
      <c r="M33" s="21"/>
      <c r="N33" s="21"/>
      <c r="O33" s="21"/>
      <c r="P33" s="21"/>
      <c r="Q33" s="21"/>
      <c r="R33" s="21"/>
      <c r="S33" s="21"/>
      <c r="T33" s="21"/>
      <c r="U33" s="22"/>
      <c r="V33" s="22"/>
      <c r="W33" s="22"/>
      <c r="X33" s="22"/>
    </row>
  </sheetData>
  <dataValidations>
    <dataValidation type="list" allowBlank="1" showErrorMessage="1" sqref="D2:D33">
      <formula1>"Mechanical,Electrical"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63"/>
    <col customWidth="1" min="2" max="2" width="12.25"/>
    <col customWidth="1" min="3" max="3" width="15.75"/>
    <col customWidth="1" min="4" max="4" width="4.38"/>
    <col customWidth="1" min="5" max="5" width="7.63"/>
    <col customWidth="1" min="6" max="6" width="4.0"/>
    <col customWidth="1" min="7" max="7" width="6.38"/>
    <col customWidth="1" min="8" max="8" width="8.25"/>
    <col customWidth="1" min="9" max="9" width="7.38"/>
    <col customWidth="1" min="10" max="10" width="5.25"/>
  </cols>
  <sheetData>
    <row r="1" ht="36.0" customHeight="1">
      <c r="A1" s="41" t="s">
        <v>0</v>
      </c>
      <c r="B1" s="42" t="s">
        <v>123</v>
      </c>
      <c r="C1" s="42" t="s">
        <v>2</v>
      </c>
      <c r="D1" s="42" t="s">
        <v>124</v>
      </c>
      <c r="E1" s="42" t="s">
        <v>125</v>
      </c>
      <c r="F1" s="42" t="s">
        <v>126</v>
      </c>
      <c r="G1" s="42" t="s">
        <v>127</v>
      </c>
      <c r="H1" s="42" t="s">
        <v>128</v>
      </c>
      <c r="I1" s="43" t="s">
        <v>9</v>
      </c>
      <c r="J1" s="43" t="s">
        <v>10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ht="18.0" customHeight="1">
      <c r="A2" s="45">
        <v>1.0</v>
      </c>
      <c r="B2" s="46" t="s">
        <v>129</v>
      </c>
      <c r="C2" s="45" t="s">
        <v>48</v>
      </c>
      <c r="D2" s="47">
        <v>7000.0</v>
      </c>
      <c r="E2" s="47">
        <v>8050.0</v>
      </c>
      <c r="F2" s="48">
        <v>0.18</v>
      </c>
      <c r="G2" s="47">
        <v>8260.0</v>
      </c>
      <c r="H2" s="45">
        <v>9499.0</v>
      </c>
      <c r="I2" s="49">
        <f>(H2-G2)/G2</f>
        <v>0.15</v>
      </c>
      <c r="J2" s="50">
        <v>13500.0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3" ht="15.75" customHeight="1">
      <c r="A3" s="45">
        <v>2.0</v>
      </c>
      <c r="B3" s="46" t="s">
        <v>130</v>
      </c>
      <c r="C3" s="51" t="s">
        <v>131</v>
      </c>
      <c r="D3" s="47">
        <v>9947.678703021373</v>
      </c>
      <c r="E3" s="47">
        <v>11439.830508474577</v>
      </c>
      <c r="F3" s="48">
        <v>0.18</v>
      </c>
      <c r="G3" s="47">
        <v>11738.26086956522</v>
      </c>
      <c r="H3" s="45">
        <v>13499.0</v>
      </c>
      <c r="I3" s="49">
        <v>0.15</v>
      </c>
      <c r="J3" s="50">
        <v>20000.0</v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</row>
    <row r="4" ht="15.75" customHeight="1">
      <c r="A4" s="45">
        <v>3.0</v>
      </c>
      <c r="B4" s="46" t="s">
        <v>132</v>
      </c>
      <c r="C4" s="5" t="s">
        <v>133</v>
      </c>
      <c r="D4" s="47">
        <v>9947.678703021373</v>
      </c>
      <c r="E4" s="47">
        <v>11439.830508474577</v>
      </c>
      <c r="F4" s="48">
        <v>0.18</v>
      </c>
      <c r="G4" s="47">
        <v>11738.26086956522</v>
      </c>
      <c r="H4" s="45">
        <v>13499.0</v>
      </c>
      <c r="I4" s="49">
        <v>0.15</v>
      </c>
      <c r="J4" s="50">
        <v>20000.0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 ht="15.75" customHeight="1">
      <c r="A5" s="45">
        <v>4.0</v>
      </c>
      <c r="B5" s="46" t="s">
        <v>134</v>
      </c>
      <c r="C5" s="52"/>
      <c r="D5" s="47">
        <v>8842.299189388359</v>
      </c>
      <c r="E5" s="47">
        <v>10168.644067796611</v>
      </c>
      <c r="F5" s="48">
        <v>0.18</v>
      </c>
      <c r="G5" s="47">
        <v>10433.913043478264</v>
      </c>
      <c r="H5" s="45">
        <v>11999.0</v>
      </c>
      <c r="I5" s="49">
        <v>0.15</v>
      </c>
      <c r="J5" s="50">
        <v>18500.0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</row>
    <row r="6" ht="15.75" customHeight="1">
      <c r="A6" s="45">
        <v>5.0</v>
      </c>
      <c r="B6" s="46" t="s">
        <v>135</v>
      </c>
      <c r="C6" s="5" t="s">
        <v>133</v>
      </c>
      <c r="D6" s="47">
        <v>9947.678703021373</v>
      </c>
      <c r="E6" s="47">
        <v>11439.830508474577</v>
      </c>
      <c r="F6" s="48">
        <v>0.18</v>
      </c>
      <c r="G6" s="47">
        <v>11738.26086956522</v>
      </c>
      <c r="H6" s="45">
        <v>13499.0</v>
      </c>
      <c r="I6" s="49">
        <v>0.15</v>
      </c>
      <c r="J6" s="50">
        <v>20000.0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</row>
    <row r="7" ht="15.75" customHeight="1">
      <c r="A7" s="45">
        <v>6.0</v>
      </c>
      <c r="B7" s="53" t="s">
        <v>136</v>
      </c>
      <c r="C7" s="5" t="s">
        <v>137</v>
      </c>
      <c r="D7" s="47">
        <v>1563.885267275098</v>
      </c>
      <c r="E7" s="47">
        <v>2033.0508474576272</v>
      </c>
      <c r="F7" s="48">
        <v>0.18</v>
      </c>
      <c r="G7" s="47">
        <v>1845.3846153846155</v>
      </c>
      <c r="H7" s="45">
        <v>2399.0</v>
      </c>
      <c r="I7" s="49">
        <v>0.3</v>
      </c>
      <c r="J7" s="50">
        <v>3999.0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</row>
    <row r="8" ht="15.75" customHeight="1">
      <c r="A8" s="44"/>
      <c r="B8" s="44"/>
      <c r="C8" s="44"/>
      <c r="D8" s="44"/>
      <c r="E8" s="44"/>
      <c r="F8" s="44"/>
      <c r="G8" s="44"/>
      <c r="H8" s="44"/>
      <c r="I8" s="5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</row>
    <row r="9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</row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25"/>
    <col customWidth="1" min="2" max="2" width="20.88"/>
    <col customWidth="1" min="3" max="3" width="35.63"/>
    <col customWidth="1" min="4" max="4" width="10.5"/>
    <col customWidth="1" min="5" max="5" width="7.5"/>
    <col customWidth="1" min="6" max="6" width="4.88"/>
    <col customWidth="1" min="7" max="7" width="10.0"/>
    <col customWidth="1" min="8" max="9" width="5.13"/>
    <col customWidth="1" min="10" max="10" width="6.75"/>
    <col customWidth="1" min="11" max="11" width="4.75"/>
  </cols>
  <sheetData>
    <row r="1" ht="36.75" customHeight="1">
      <c r="A1" s="2" t="s">
        <v>0</v>
      </c>
      <c r="B1" s="2" t="s">
        <v>1</v>
      </c>
      <c r="C1" s="2" t="s">
        <v>2</v>
      </c>
      <c r="D1" s="2" t="s">
        <v>3</v>
      </c>
      <c r="E1" s="20" t="s">
        <v>4</v>
      </c>
      <c r="F1" s="20" t="s">
        <v>138</v>
      </c>
      <c r="G1" s="55" t="s">
        <v>126</v>
      </c>
      <c r="H1" s="55" t="s">
        <v>139</v>
      </c>
      <c r="I1" s="55" t="s">
        <v>140</v>
      </c>
      <c r="J1" s="20" t="s">
        <v>9</v>
      </c>
      <c r="K1" s="20" t="s">
        <v>10</v>
      </c>
      <c r="L1" s="56"/>
      <c r="M1" s="56"/>
      <c r="N1" s="56"/>
      <c r="O1" s="56"/>
      <c r="P1" s="56"/>
      <c r="Q1" s="56"/>
      <c r="R1" s="56"/>
      <c r="S1" s="56"/>
      <c r="T1" s="56"/>
    </row>
    <row r="2">
      <c r="A2" s="57">
        <v>1.0</v>
      </c>
      <c r="B2" s="57" t="s">
        <v>11</v>
      </c>
      <c r="C2" s="5" t="s">
        <v>12</v>
      </c>
      <c r="D2" s="57" t="s">
        <v>13</v>
      </c>
      <c r="E2" s="58">
        <v>145.0</v>
      </c>
      <c r="F2" s="58">
        <v>202.34375</v>
      </c>
      <c r="G2" s="59">
        <f>vlookup($B2,'X1'!$B:$K,6,0)</f>
        <v>0.28</v>
      </c>
      <c r="H2" s="24">
        <f t="shared" ref="H2:H23" si="1">E2*(1+G2)</f>
        <v>185.6</v>
      </c>
      <c r="I2" s="23">
        <f t="shared" ref="I2:I23" si="2">F2*(1+G2)</f>
        <v>259</v>
      </c>
      <c r="J2" s="60">
        <f t="shared" ref="J2:J23" si="3">(F2-E2)/E2</f>
        <v>0.3954741379</v>
      </c>
      <c r="K2" s="61">
        <v>499.0</v>
      </c>
      <c r="L2" s="56"/>
      <c r="M2" s="56"/>
      <c r="N2" s="56"/>
      <c r="O2" s="56"/>
      <c r="P2" s="56"/>
      <c r="Q2" s="56"/>
      <c r="R2" s="56"/>
      <c r="S2" s="56"/>
      <c r="T2" s="56"/>
    </row>
    <row r="3" ht="15.75" customHeight="1">
      <c r="A3" s="57">
        <v>2.0</v>
      </c>
      <c r="B3" s="57" t="s">
        <v>14</v>
      </c>
      <c r="C3" s="5" t="s">
        <v>15</v>
      </c>
      <c r="D3" s="57" t="s">
        <v>13</v>
      </c>
      <c r="E3" s="58">
        <v>220.0</v>
      </c>
      <c r="F3" s="58">
        <v>390.625</v>
      </c>
      <c r="G3" s="59">
        <f>vlookup($B3,'X1'!$B:$K,6,0)</f>
        <v>0.28</v>
      </c>
      <c r="H3" s="24">
        <f t="shared" si="1"/>
        <v>281.6</v>
      </c>
      <c r="I3" s="23">
        <f t="shared" si="2"/>
        <v>500</v>
      </c>
      <c r="J3" s="60">
        <f t="shared" si="3"/>
        <v>0.7755681818</v>
      </c>
      <c r="K3" s="61">
        <v>999.0</v>
      </c>
      <c r="L3" s="56"/>
      <c r="M3" s="56"/>
      <c r="N3" s="56"/>
      <c r="O3" s="56"/>
      <c r="P3" s="56"/>
      <c r="Q3" s="56"/>
      <c r="R3" s="56"/>
      <c r="S3" s="56"/>
      <c r="T3" s="56"/>
    </row>
    <row r="4" ht="15.75" customHeight="1">
      <c r="A4" s="57">
        <v>3.0</v>
      </c>
      <c r="B4" s="57" t="s">
        <v>141</v>
      </c>
      <c r="C4" s="5" t="s">
        <v>17</v>
      </c>
      <c r="D4" s="57" t="s">
        <v>13</v>
      </c>
      <c r="E4" s="58">
        <v>176.0</v>
      </c>
      <c r="F4" s="58">
        <v>205.46875</v>
      </c>
      <c r="G4" s="59">
        <f>vlookup($B4,'X1'!$B:$K,6,0)</f>
        <v>0.28</v>
      </c>
      <c r="H4" s="24">
        <f t="shared" si="1"/>
        <v>225.28</v>
      </c>
      <c r="I4" s="23">
        <f t="shared" si="2"/>
        <v>263</v>
      </c>
      <c r="J4" s="60">
        <f t="shared" si="3"/>
        <v>0.1674360795</v>
      </c>
      <c r="K4" s="61">
        <v>449.0</v>
      </c>
      <c r="L4" s="56"/>
      <c r="M4" s="56"/>
      <c r="N4" s="56"/>
      <c r="O4" s="56"/>
      <c r="P4" s="56"/>
      <c r="Q4" s="56"/>
      <c r="R4" s="56"/>
      <c r="S4" s="56"/>
      <c r="T4" s="56"/>
    </row>
    <row r="5" ht="15.75" customHeight="1">
      <c r="A5" s="57">
        <v>4.0</v>
      </c>
      <c r="B5" s="57" t="s">
        <v>18</v>
      </c>
      <c r="C5" s="11" t="s">
        <v>19</v>
      </c>
      <c r="D5" s="57" t="s">
        <v>13</v>
      </c>
      <c r="E5" s="58">
        <v>210.0</v>
      </c>
      <c r="F5" s="58">
        <v>272.65625</v>
      </c>
      <c r="G5" s="59">
        <f>vlookup($B5,'X1'!$B:$K,6,0)</f>
        <v>0.28</v>
      </c>
      <c r="H5" s="24">
        <f t="shared" si="1"/>
        <v>268.8</v>
      </c>
      <c r="I5" s="23">
        <f t="shared" si="2"/>
        <v>349</v>
      </c>
      <c r="J5" s="60">
        <f t="shared" si="3"/>
        <v>0.2983630952</v>
      </c>
      <c r="K5" s="61">
        <v>499.0</v>
      </c>
      <c r="L5" s="56"/>
      <c r="M5" s="56"/>
      <c r="N5" s="56"/>
      <c r="O5" s="56"/>
      <c r="P5" s="56"/>
      <c r="Q5" s="56"/>
      <c r="R5" s="56"/>
      <c r="S5" s="56"/>
      <c r="T5" s="56"/>
    </row>
    <row r="6" ht="15.75" customHeight="1">
      <c r="A6" s="57">
        <v>5.0</v>
      </c>
      <c r="B6" s="57" t="s">
        <v>20</v>
      </c>
      <c r="C6" s="11" t="s">
        <v>21</v>
      </c>
      <c r="D6" s="57" t="s">
        <v>13</v>
      </c>
      <c r="E6" s="58">
        <v>163.0</v>
      </c>
      <c r="F6" s="58">
        <v>253.90625</v>
      </c>
      <c r="G6" s="59">
        <f>vlookup($B6,'X1'!$B:$K,6,0)</f>
        <v>0.28</v>
      </c>
      <c r="H6" s="24">
        <f t="shared" si="1"/>
        <v>208.64</v>
      </c>
      <c r="I6" s="23">
        <f t="shared" si="2"/>
        <v>325</v>
      </c>
      <c r="J6" s="60">
        <f t="shared" si="3"/>
        <v>0.5577070552</v>
      </c>
      <c r="K6" s="61">
        <v>490.0</v>
      </c>
      <c r="L6" s="56"/>
      <c r="M6" s="56"/>
      <c r="N6" s="56"/>
      <c r="O6" s="56"/>
      <c r="P6" s="56"/>
      <c r="Q6" s="56"/>
      <c r="R6" s="56"/>
      <c r="S6" s="56"/>
      <c r="T6" s="56"/>
    </row>
    <row r="7" ht="15.75" customHeight="1">
      <c r="A7" s="57">
        <v>6.0</v>
      </c>
      <c r="B7" s="57" t="s">
        <v>22</v>
      </c>
      <c r="C7" s="11" t="s">
        <v>23</v>
      </c>
      <c r="D7" s="57" t="s">
        <v>13</v>
      </c>
      <c r="E7" s="58">
        <v>540.0</v>
      </c>
      <c r="F7" s="58">
        <v>663.28125</v>
      </c>
      <c r="G7" s="59">
        <f>vlookup($B7,'X1'!$B:$K,6,0)</f>
        <v>0.28</v>
      </c>
      <c r="H7" s="24">
        <f t="shared" si="1"/>
        <v>691.2</v>
      </c>
      <c r="I7" s="23">
        <f t="shared" si="2"/>
        <v>849</v>
      </c>
      <c r="J7" s="60">
        <f t="shared" si="3"/>
        <v>0.2282986111</v>
      </c>
      <c r="K7" s="61">
        <v>999.0</v>
      </c>
      <c r="L7" s="56"/>
      <c r="M7" s="56"/>
      <c r="N7" s="56"/>
      <c r="O7" s="56"/>
      <c r="P7" s="56"/>
      <c r="Q7" s="56"/>
      <c r="R7" s="56"/>
      <c r="S7" s="56"/>
      <c r="T7" s="56"/>
    </row>
    <row r="8" ht="15.75" customHeight="1">
      <c r="A8" s="57">
        <v>7.0</v>
      </c>
      <c r="B8" s="57" t="s">
        <v>24</v>
      </c>
      <c r="C8" s="11" t="s">
        <v>25</v>
      </c>
      <c r="D8" s="57" t="s">
        <v>13</v>
      </c>
      <c r="E8" s="58">
        <v>200.0</v>
      </c>
      <c r="F8" s="58">
        <v>272.65625</v>
      </c>
      <c r="G8" s="59">
        <f>vlookup($B8,'X1'!$B:$K,6,0)</f>
        <v>0.28</v>
      </c>
      <c r="H8" s="24">
        <f t="shared" si="1"/>
        <v>256</v>
      </c>
      <c r="I8" s="23">
        <f t="shared" si="2"/>
        <v>349</v>
      </c>
      <c r="J8" s="60">
        <f t="shared" si="3"/>
        <v>0.36328125</v>
      </c>
      <c r="K8" s="61">
        <v>799.0</v>
      </c>
      <c r="L8" s="56"/>
      <c r="M8" s="56"/>
      <c r="N8" s="56"/>
      <c r="O8" s="56"/>
      <c r="P8" s="56"/>
      <c r="Q8" s="56"/>
      <c r="R8" s="56"/>
      <c r="S8" s="56"/>
      <c r="T8" s="56"/>
    </row>
    <row r="9" ht="15.75" customHeight="1">
      <c r="A9" s="57">
        <v>8.0</v>
      </c>
      <c r="B9" s="57" t="s">
        <v>26</v>
      </c>
      <c r="C9" s="11" t="s">
        <v>27</v>
      </c>
      <c r="D9" s="57" t="s">
        <v>13</v>
      </c>
      <c r="E9" s="58">
        <v>383.20000000000005</v>
      </c>
      <c r="F9" s="58">
        <v>452.34375</v>
      </c>
      <c r="G9" s="59">
        <f>vlookup($B9,'X1'!$B:$K,6,0)</f>
        <v>0.28</v>
      </c>
      <c r="H9" s="24">
        <f t="shared" si="1"/>
        <v>490.496</v>
      </c>
      <c r="I9" s="23">
        <f t="shared" si="2"/>
        <v>579</v>
      </c>
      <c r="J9" s="60">
        <f t="shared" si="3"/>
        <v>0.180437761</v>
      </c>
      <c r="K9" s="61">
        <v>1499.0</v>
      </c>
      <c r="L9" s="56"/>
      <c r="M9" s="56"/>
      <c r="N9" s="56"/>
      <c r="O9" s="56"/>
      <c r="P9" s="56"/>
      <c r="Q9" s="56"/>
      <c r="R9" s="56"/>
      <c r="S9" s="56"/>
      <c r="T9" s="56"/>
    </row>
    <row r="10" ht="15.75" customHeight="1">
      <c r="A10" s="57">
        <v>9.0</v>
      </c>
      <c r="B10" s="57" t="s">
        <v>28</v>
      </c>
      <c r="C10" s="12" t="s">
        <v>29</v>
      </c>
      <c r="D10" s="57" t="s">
        <v>13</v>
      </c>
      <c r="E10" s="58">
        <v>136.0</v>
      </c>
      <c r="F10" s="58">
        <v>233.59375</v>
      </c>
      <c r="G10" s="59">
        <f>vlookup($B10,'X1'!$B:$K,6,0)</f>
        <v>0.28</v>
      </c>
      <c r="H10" s="24">
        <f t="shared" si="1"/>
        <v>174.08</v>
      </c>
      <c r="I10" s="23">
        <f t="shared" si="2"/>
        <v>299</v>
      </c>
      <c r="J10" s="60">
        <f t="shared" si="3"/>
        <v>0.7176011029</v>
      </c>
      <c r="K10" s="61">
        <v>799.0</v>
      </c>
      <c r="L10" s="56"/>
      <c r="M10" s="56"/>
      <c r="N10" s="56"/>
      <c r="O10" s="56"/>
      <c r="P10" s="56"/>
      <c r="Q10" s="56"/>
      <c r="R10" s="56"/>
      <c r="S10" s="56"/>
      <c r="T10" s="56"/>
    </row>
    <row r="11" ht="15.75" customHeight="1">
      <c r="A11" s="57">
        <v>10.0</v>
      </c>
      <c r="B11" s="57" t="s">
        <v>30</v>
      </c>
      <c r="C11" s="11" t="s">
        <v>31</v>
      </c>
      <c r="D11" s="57" t="s">
        <v>13</v>
      </c>
      <c r="E11" s="58">
        <v>120.0</v>
      </c>
      <c r="F11" s="58">
        <v>155.46875</v>
      </c>
      <c r="G11" s="59">
        <f>vlookup($B11,'X1'!$B:$K,6,0)</f>
        <v>0.28</v>
      </c>
      <c r="H11" s="24">
        <f t="shared" si="1"/>
        <v>153.6</v>
      </c>
      <c r="I11" s="23">
        <f t="shared" si="2"/>
        <v>199</v>
      </c>
      <c r="J11" s="60">
        <f t="shared" si="3"/>
        <v>0.2955729167</v>
      </c>
      <c r="K11" s="61">
        <v>349.0</v>
      </c>
      <c r="L11" s="56"/>
      <c r="M11" s="56"/>
      <c r="N11" s="56"/>
      <c r="O11" s="56"/>
      <c r="P11" s="56"/>
      <c r="Q11" s="56"/>
      <c r="R11" s="56"/>
      <c r="S11" s="56"/>
      <c r="T11" s="56"/>
    </row>
    <row r="12" ht="15.75" customHeight="1">
      <c r="A12" s="57">
        <v>11.0</v>
      </c>
      <c r="B12" s="57" t="s">
        <v>32</v>
      </c>
      <c r="C12" s="13" t="s">
        <v>33</v>
      </c>
      <c r="D12" s="57" t="s">
        <v>13</v>
      </c>
      <c r="E12" s="58">
        <v>92.80000000000001</v>
      </c>
      <c r="F12" s="58">
        <v>155.46875</v>
      </c>
      <c r="G12" s="59">
        <f>vlookup($B12,'X1'!$B:$K,6,0)</f>
        <v>0.28</v>
      </c>
      <c r="H12" s="24">
        <f t="shared" si="1"/>
        <v>118.784</v>
      </c>
      <c r="I12" s="23">
        <f t="shared" si="2"/>
        <v>199</v>
      </c>
      <c r="J12" s="60">
        <f t="shared" si="3"/>
        <v>0.675309806</v>
      </c>
      <c r="K12" s="61">
        <v>299.0</v>
      </c>
      <c r="L12" s="56"/>
      <c r="M12" s="56"/>
      <c r="N12" s="56"/>
      <c r="O12" s="56"/>
      <c r="P12" s="56"/>
      <c r="Q12" s="56"/>
      <c r="R12" s="56"/>
      <c r="S12" s="56"/>
      <c r="T12" s="56"/>
    </row>
    <row r="13" ht="15.75" customHeight="1">
      <c r="A13" s="57">
        <v>12.0</v>
      </c>
      <c r="B13" s="57" t="s">
        <v>34</v>
      </c>
      <c r="C13" s="5" t="s">
        <v>35</v>
      </c>
      <c r="D13" s="57" t="s">
        <v>13</v>
      </c>
      <c r="E13" s="58">
        <v>119.36</v>
      </c>
      <c r="F13" s="58">
        <v>194.53125</v>
      </c>
      <c r="G13" s="59">
        <f>vlookup($B13,'X1'!$B:$K,6,0)</f>
        <v>0.28</v>
      </c>
      <c r="H13" s="24">
        <f t="shared" si="1"/>
        <v>152.7808</v>
      </c>
      <c r="I13" s="23">
        <f t="shared" si="2"/>
        <v>249</v>
      </c>
      <c r="J13" s="60">
        <f t="shared" si="3"/>
        <v>0.6297859417</v>
      </c>
      <c r="K13" s="61">
        <v>599.0</v>
      </c>
      <c r="L13" s="56"/>
      <c r="M13" s="56"/>
      <c r="N13" s="56"/>
      <c r="O13" s="56"/>
      <c r="P13" s="56"/>
      <c r="Q13" s="56"/>
      <c r="R13" s="56"/>
      <c r="S13" s="56"/>
      <c r="T13" s="56"/>
    </row>
    <row r="14" ht="15.75" customHeight="1">
      <c r="A14" s="57">
        <v>13.0</v>
      </c>
      <c r="B14" s="57" t="s">
        <v>36</v>
      </c>
      <c r="C14" s="11" t="s">
        <v>37</v>
      </c>
      <c r="D14" s="57" t="s">
        <v>13</v>
      </c>
      <c r="E14" s="58">
        <v>425.0</v>
      </c>
      <c r="F14" s="58">
        <v>546.09375</v>
      </c>
      <c r="G14" s="59">
        <f>vlookup($B14,'X1'!$B:$K,6,0)</f>
        <v>0.28</v>
      </c>
      <c r="H14" s="24">
        <f t="shared" si="1"/>
        <v>544</v>
      </c>
      <c r="I14" s="23">
        <f t="shared" si="2"/>
        <v>699</v>
      </c>
      <c r="J14" s="60">
        <f t="shared" si="3"/>
        <v>0.2849264706</v>
      </c>
      <c r="K14" s="61">
        <v>1299.0</v>
      </c>
      <c r="L14" s="56"/>
      <c r="M14" s="56"/>
      <c r="N14" s="56"/>
      <c r="O14" s="56"/>
      <c r="P14" s="56"/>
      <c r="Q14" s="56"/>
      <c r="R14" s="56"/>
      <c r="S14" s="56"/>
      <c r="T14" s="56"/>
    </row>
    <row r="15" ht="15.75" customHeight="1">
      <c r="A15" s="57">
        <v>14.0</v>
      </c>
      <c r="B15" s="57" t="s">
        <v>38</v>
      </c>
      <c r="C15" s="11" t="s">
        <v>39</v>
      </c>
      <c r="D15" s="57" t="s">
        <v>13</v>
      </c>
      <c r="E15" s="58">
        <v>425.0</v>
      </c>
      <c r="F15" s="58">
        <v>546.09375</v>
      </c>
      <c r="G15" s="59">
        <f>vlookup($B15,'X1'!$B:$K,6,0)</f>
        <v>0.28</v>
      </c>
      <c r="H15" s="24">
        <f t="shared" si="1"/>
        <v>544</v>
      </c>
      <c r="I15" s="23">
        <f t="shared" si="2"/>
        <v>699</v>
      </c>
      <c r="J15" s="60">
        <f t="shared" si="3"/>
        <v>0.2849264706</v>
      </c>
      <c r="K15" s="61">
        <v>1299.0</v>
      </c>
      <c r="L15" s="56"/>
      <c r="M15" s="56"/>
      <c r="N15" s="56"/>
      <c r="O15" s="56"/>
      <c r="P15" s="56"/>
      <c r="Q15" s="56"/>
      <c r="R15" s="56"/>
      <c r="S15" s="56"/>
      <c r="T15" s="56"/>
    </row>
    <row r="16" ht="15.75" customHeight="1">
      <c r="A16" s="57">
        <v>15.0</v>
      </c>
      <c r="B16" s="57" t="s">
        <v>40</v>
      </c>
      <c r="C16" s="11" t="s">
        <v>41</v>
      </c>
      <c r="D16" s="57" t="s">
        <v>13</v>
      </c>
      <c r="E16" s="58">
        <v>883.2</v>
      </c>
      <c r="F16" s="58">
        <v>1014.84375</v>
      </c>
      <c r="G16" s="59">
        <f>vlookup($B16,'X1'!$B:$K,6,0)</f>
        <v>0.28</v>
      </c>
      <c r="H16" s="24">
        <f t="shared" si="1"/>
        <v>1130.496</v>
      </c>
      <c r="I16" s="23">
        <f t="shared" si="2"/>
        <v>1299</v>
      </c>
      <c r="J16" s="60">
        <f t="shared" si="3"/>
        <v>0.149053159</v>
      </c>
      <c r="K16" s="61">
        <v>2099.0</v>
      </c>
      <c r="L16" s="56"/>
      <c r="M16" s="56"/>
      <c r="N16" s="56"/>
      <c r="O16" s="56"/>
      <c r="P16" s="56"/>
      <c r="Q16" s="56"/>
      <c r="R16" s="56"/>
      <c r="S16" s="56"/>
      <c r="T16" s="56"/>
    </row>
    <row r="17" ht="15.75" customHeight="1">
      <c r="A17" s="57">
        <v>16.0</v>
      </c>
      <c r="B17" s="57" t="s">
        <v>42</v>
      </c>
      <c r="C17" s="5" t="s">
        <v>43</v>
      </c>
      <c r="D17" s="57" t="s">
        <v>111</v>
      </c>
      <c r="E17" s="58">
        <v>4415.081521739131</v>
      </c>
      <c r="F17" s="58">
        <v>5077.34375</v>
      </c>
      <c r="G17" s="59">
        <f>vlookup($B17,'X1'!$B:$K,6,0)</f>
        <v>0.28</v>
      </c>
      <c r="H17" s="24">
        <f t="shared" si="1"/>
        <v>5651.304348</v>
      </c>
      <c r="I17" s="23">
        <f t="shared" si="2"/>
        <v>6499</v>
      </c>
      <c r="J17" s="60">
        <f t="shared" si="3"/>
        <v>0.15</v>
      </c>
      <c r="K17" s="61">
        <v>9499.0</v>
      </c>
      <c r="L17" s="56"/>
      <c r="M17" s="56"/>
      <c r="N17" s="56"/>
      <c r="O17" s="56"/>
      <c r="P17" s="56"/>
      <c r="Q17" s="56"/>
      <c r="R17" s="56"/>
      <c r="S17" s="56"/>
      <c r="T17" s="56"/>
    </row>
    <row r="18" ht="15.75" customHeight="1">
      <c r="A18" s="57">
        <v>17.0</v>
      </c>
      <c r="B18" s="57" t="s">
        <v>45</v>
      </c>
      <c r="C18" s="5" t="s">
        <v>46</v>
      </c>
      <c r="D18" s="57" t="s">
        <v>111</v>
      </c>
      <c r="E18" s="58">
        <v>2377.038043478261</v>
      </c>
      <c r="F18" s="58">
        <v>2733.59375</v>
      </c>
      <c r="G18" s="59">
        <f>vlookup($B18,'X1'!$B:$K,6,0)</f>
        <v>0.28</v>
      </c>
      <c r="H18" s="24">
        <f t="shared" si="1"/>
        <v>3042.608696</v>
      </c>
      <c r="I18" s="23">
        <f t="shared" si="2"/>
        <v>3499</v>
      </c>
      <c r="J18" s="60">
        <f t="shared" si="3"/>
        <v>0.15</v>
      </c>
      <c r="K18" s="61">
        <v>4599.0</v>
      </c>
      <c r="L18" s="56"/>
      <c r="M18" s="56"/>
      <c r="N18" s="56"/>
      <c r="O18" s="56"/>
      <c r="P18" s="56"/>
      <c r="Q18" s="56"/>
      <c r="R18" s="56"/>
      <c r="S18" s="56"/>
      <c r="T18" s="56"/>
    </row>
    <row r="19" ht="15.75" customHeight="1">
      <c r="A19" s="57">
        <v>18.0</v>
      </c>
      <c r="B19" s="57" t="s">
        <v>47</v>
      </c>
      <c r="C19" s="12" t="s">
        <v>48</v>
      </c>
      <c r="D19" s="57" t="s">
        <v>111</v>
      </c>
      <c r="E19" s="58">
        <v>7000.000000000001</v>
      </c>
      <c r="F19" s="58">
        <v>8050.0</v>
      </c>
      <c r="G19" s="59">
        <f>vlookup($B19,'X1'!$B:$K,6,0)</f>
        <v>0.18</v>
      </c>
      <c r="H19" s="24">
        <f t="shared" si="1"/>
        <v>8260</v>
      </c>
      <c r="I19" s="23">
        <f t="shared" si="2"/>
        <v>9499</v>
      </c>
      <c r="J19" s="60">
        <f t="shared" si="3"/>
        <v>0.15</v>
      </c>
      <c r="K19" s="61">
        <v>13499.0</v>
      </c>
      <c r="L19" s="56"/>
      <c r="M19" s="56"/>
      <c r="N19" s="56"/>
      <c r="O19" s="56"/>
      <c r="P19" s="56"/>
      <c r="Q19" s="56"/>
      <c r="R19" s="56"/>
      <c r="S19" s="56"/>
      <c r="T19" s="56"/>
    </row>
    <row r="20" ht="15.75" customHeight="1">
      <c r="A20" s="57">
        <v>19.0</v>
      </c>
      <c r="B20" s="57" t="s">
        <v>49</v>
      </c>
      <c r="C20" s="12" t="s">
        <v>50</v>
      </c>
      <c r="D20" s="57" t="s">
        <v>111</v>
      </c>
      <c r="E20" s="58">
        <v>610.7336956521739</v>
      </c>
      <c r="F20" s="58">
        <v>702.34375</v>
      </c>
      <c r="G20" s="59">
        <f>vlookup($B20,'X1'!$B:$K,6,0)</f>
        <v>0.28</v>
      </c>
      <c r="H20" s="24">
        <f t="shared" si="1"/>
        <v>781.7391304</v>
      </c>
      <c r="I20" s="23">
        <f t="shared" si="2"/>
        <v>899</v>
      </c>
      <c r="J20" s="60">
        <f t="shared" si="3"/>
        <v>0.15</v>
      </c>
      <c r="K20" s="61">
        <v>899.0</v>
      </c>
      <c r="L20" s="56"/>
      <c r="M20" s="56"/>
      <c r="N20" s="56"/>
      <c r="O20" s="56"/>
      <c r="P20" s="56"/>
      <c r="Q20" s="56"/>
      <c r="R20" s="56"/>
      <c r="S20" s="56"/>
      <c r="T20" s="56"/>
    </row>
    <row r="21" ht="15.75" customHeight="1">
      <c r="A21" s="57">
        <v>20.0</v>
      </c>
      <c r="B21" s="57" t="s">
        <v>142</v>
      </c>
      <c r="C21" s="12" t="s">
        <v>56</v>
      </c>
      <c r="D21" s="57" t="s">
        <v>111</v>
      </c>
      <c r="E21" s="58">
        <v>508.83152173913044</v>
      </c>
      <c r="F21" s="58">
        <v>585.15625</v>
      </c>
      <c r="G21" s="59">
        <f>vlookup($B21,'X1'!$B:$K,6,0)</f>
        <v>0.28</v>
      </c>
      <c r="H21" s="24">
        <f t="shared" si="1"/>
        <v>651.3043478</v>
      </c>
      <c r="I21" s="23">
        <f t="shared" si="2"/>
        <v>749</v>
      </c>
      <c r="J21" s="60">
        <f t="shared" si="3"/>
        <v>0.15</v>
      </c>
      <c r="K21" s="61">
        <v>1299.0</v>
      </c>
      <c r="L21" s="56"/>
      <c r="M21" s="56"/>
      <c r="N21" s="56"/>
      <c r="O21" s="56"/>
      <c r="P21" s="56"/>
      <c r="Q21" s="56"/>
      <c r="R21" s="56"/>
      <c r="S21" s="56"/>
      <c r="T21" s="56"/>
    </row>
    <row r="22" ht="15.75" customHeight="1">
      <c r="A22" s="57">
        <v>21.0</v>
      </c>
      <c r="B22" s="57" t="s">
        <v>143</v>
      </c>
      <c r="C22" s="57" t="s">
        <v>144</v>
      </c>
      <c r="D22" s="57" t="s">
        <v>111</v>
      </c>
      <c r="E22" s="29">
        <f>F22/(1.15)</f>
        <v>1358.016304</v>
      </c>
      <c r="F22" s="29">
        <v>1561.71875</v>
      </c>
      <c r="G22" s="25">
        <v>0.28</v>
      </c>
      <c r="H22" s="24">
        <f t="shared" si="1"/>
        <v>1738.26087</v>
      </c>
      <c r="I22" s="23">
        <f t="shared" si="2"/>
        <v>1999</v>
      </c>
      <c r="J22" s="60">
        <f t="shared" si="3"/>
        <v>0.15</v>
      </c>
      <c r="K22" s="26">
        <v>2999.0</v>
      </c>
      <c r="L22" s="56"/>
      <c r="M22" s="56"/>
      <c r="N22" s="56"/>
      <c r="O22" s="56"/>
      <c r="P22" s="56"/>
      <c r="Q22" s="56"/>
      <c r="R22" s="56"/>
      <c r="S22" s="56"/>
      <c r="T22" s="56"/>
    </row>
    <row r="23" ht="15.75" customHeight="1">
      <c r="A23" s="57">
        <v>22.0</v>
      </c>
      <c r="B23" s="57" t="s">
        <v>145</v>
      </c>
      <c r="C23" s="57" t="s">
        <v>146</v>
      </c>
      <c r="D23" s="57" t="s">
        <v>111</v>
      </c>
      <c r="E23" s="62">
        <v>202.0</v>
      </c>
      <c r="F23" s="29">
        <v>272.65625</v>
      </c>
      <c r="G23" s="25">
        <v>0.28</v>
      </c>
      <c r="H23" s="24">
        <f t="shared" si="1"/>
        <v>258.56</v>
      </c>
      <c r="I23" s="23">
        <f t="shared" si="2"/>
        <v>349</v>
      </c>
      <c r="J23" s="60">
        <f t="shared" si="3"/>
        <v>0.3497834158</v>
      </c>
      <c r="K23" s="26">
        <v>599.0</v>
      </c>
      <c r="L23" s="56"/>
      <c r="M23" s="56"/>
      <c r="N23" s="56"/>
      <c r="O23" s="56"/>
      <c r="P23" s="56"/>
      <c r="Q23" s="56"/>
      <c r="R23" s="56"/>
      <c r="S23" s="56"/>
      <c r="T23" s="56"/>
    </row>
    <row r="24" ht="15.75" customHeight="1">
      <c r="A24" s="63"/>
      <c r="B24" s="63"/>
      <c r="C24" s="63"/>
      <c r="D24" s="63"/>
      <c r="E24" s="63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</row>
    <row r="25" ht="15.75" customHeight="1">
      <c r="A25" s="63"/>
      <c r="B25" s="63"/>
      <c r="C25" s="63"/>
      <c r="D25" s="63"/>
      <c r="E25" s="63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</row>
    <row r="26" ht="15.75" customHeight="1">
      <c r="A26" s="63"/>
      <c r="B26" s="63"/>
      <c r="C26" s="63"/>
      <c r="D26" s="63"/>
      <c r="E26" s="63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</row>
    <row r="27" ht="15.75" customHeight="1">
      <c r="A27" s="63"/>
      <c r="B27" s="63"/>
      <c r="C27" s="63"/>
      <c r="D27" s="63"/>
      <c r="E27" s="63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</row>
    <row r="28" ht="15.75" customHeight="1">
      <c r="A28" s="63"/>
      <c r="B28" s="63"/>
      <c r="C28" s="63"/>
      <c r="D28" s="63"/>
      <c r="E28" s="63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</row>
    <row r="29" ht="15.75" customHeight="1">
      <c r="A29" s="63"/>
      <c r="B29" s="63"/>
      <c r="C29" s="63"/>
      <c r="D29" s="63"/>
      <c r="E29" s="63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</row>
    <row r="30" ht="15.75" customHeight="1">
      <c r="A30" s="63"/>
      <c r="B30" s="63"/>
      <c r="C30" s="63"/>
      <c r="D30" s="63"/>
      <c r="E30" s="63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</row>
    <row r="31" ht="15.75" customHeight="1">
      <c r="A31" s="63"/>
      <c r="B31" s="63"/>
      <c r="C31" s="63"/>
      <c r="D31" s="63"/>
      <c r="E31" s="63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</row>
    <row r="32" ht="15.75" customHeight="1">
      <c r="A32" s="63"/>
      <c r="B32" s="63"/>
      <c r="C32" s="63"/>
      <c r="D32" s="63"/>
      <c r="E32" s="63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</row>
    <row r="33" ht="15.75" customHeight="1">
      <c r="A33" s="63"/>
      <c r="B33" s="63"/>
      <c r="C33" s="63"/>
      <c r="D33" s="63"/>
      <c r="E33" s="63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</row>
    <row r="34" ht="15.75" customHeight="1">
      <c r="A34" s="63"/>
      <c r="B34" s="63"/>
      <c r="C34" s="63"/>
      <c r="D34" s="63"/>
      <c r="E34" s="63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</row>
    <row r="35" ht="15.75" customHeight="1">
      <c r="A35" s="63"/>
      <c r="B35" s="63"/>
      <c r="C35" s="63"/>
      <c r="D35" s="63"/>
      <c r="E35" s="63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</row>
    <row r="36" ht="15.75" customHeight="1">
      <c r="A36" s="63"/>
      <c r="B36" s="63"/>
      <c r="C36" s="63"/>
      <c r="D36" s="63"/>
      <c r="E36" s="63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</row>
    <row r="37" ht="15.75" customHeight="1">
      <c r="A37" s="63"/>
      <c r="B37" s="63"/>
      <c r="C37" s="63"/>
      <c r="D37" s="63"/>
      <c r="E37" s="63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</row>
    <row r="38" ht="15.75" customHeight="1">
      <c r="A38" s="63"/>
      <c r="B38" s="63"/>
      <c r="C38" s="63"/>
      <c r="D38" s="63"/>
      <c r="E38" s="63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</row>
    <row r="39" ht="15.75" customHeight="1">
      <c r="A39" s="63"/>
      <c r="B39" s="63"/>
      <c r="C39" s="63"/>
      <c r="D39" s="63"/>
      <c r="E39" s="63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</row>
    <row r="40" ht="15.75" customHeight="1">
      <c r="A40" s="63"/>
      <c r="B40" s="63"/>
      <c r="C40" s="63"/>
      <c r="D40" s="63"/>
      <c r="E40" s="63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</row>
    <row r="41" ht="15.75" customHeight="1">
      <c r="A41" s="63"/>
      <c r="B41" s="63"/>
      <c r="C41" s="63"/>
      <c r="D41" s="63"/>
      <c r="E41" s="63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</row>
    <row r="42" ht="15.75" customHeight="1">
      <c r="A42" s="63"/>
      <c r="B42" s="63"/>
      <c r="C42" s="63"/>
      <c r="D42" s="63"/>
      <c r="E42" s="63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</row>
    <row r="43" ht="15.75" customHeight="1">
      <c r="A43" s="63"/>
      <c r="B43" s="63"/>
      <c r="C43" s="63"/>
      <c r="D43" s="63"/>
      <c r="E43" s="63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</row>
    <row r="44" ht="15.75" customHeight="1">
      <c r="A44" s="63"/>
      <c r="B44" s="63"/>
      <c r="C44" s="63"/>
      <c r="D44" s="63"/>
      <c r="E44" s="63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</row>
    <row r="45" ht="15.75" customHeight="1">
      <c r="A45" s="63"/>
      <c r="B45" s="63"/>
      <c r="C45" s="63"/>
      <c r="D45" s="63"/>
      <c r="E45" s="63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</row>
    <row r="46" ht="15.75" customHeight="1">
      <c r="A46" s="63"/>
      <c r="B46" s="63"/>
      <c r="C46" s="63"/>
      <c r="D46" s="63"/>
      <c r="E46" s="63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</row>
    <row r="47" ht="15.75" customHeight="1">
      <c r="A47" s="63"/>
      <c r="B47" s="63"/>
      <c r="C47" s="63"/>
      <c r="D47" s="63"/>
      <c r="E47" s="63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</row>
    <row r="48" ht="15.75" customHeight="1">
      <c r="A48" s="63"/>
      <c r="B48" s="63"/>
      <c r="C48" s="63"/>
      <c r="D48" s="63"/>
      <c r="E48" s="63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</row>
    <row r="49" ht="15.75" customHeight="1">
      <c r="A49" s="63"/>
      <c r="B49" s="63"/>
      <c r="C49" s="63"/>
      <c r="D49" s="63"/>
      <c r="E49" s="63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</row>
    <row r="50" ht="15.75" customHeight="1">
      <c r="A50" s="63"/>
      <c r="B50" s="63"/>
      <c r="C50" s="63"/>
      <c r="D50" s="63"/>
      <c r="E50" s="63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</row>
    <row r="51" ht="15.75" customHeight="1">
      <c r="A51" s="63"/>
      <c r="B51" s="63"/>
      <c r="C51" s="63"/>
      <c r="D51" s="63"/>
      <c r="E51" s="63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</row>
    <row r="52" ht="15.75" customHeight="1">
      <c r="A52" s="63"/>
      <c r="B52" s="63"/>
      <c r="C52" s="63"/>
      <c r="D52" s="63"/>
      <c r="E52" s="63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</row>
    <row r="53" ht="15.75" customHeight="1">
      <c r="A53" s="63"/>
      <c r="B53" s="63"/>
      <c r="C53" s="63"/>
      <c r="D53" s="63"/>
      <c r="E53" s="63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</row>
    <row r="54" ht="15.75" customHeight="1">
      <c r="A54" s="63"/>
      <c r="B54" s="63"/>
      <c r="C54" s="63"/>
      <c r="D54" s="63"/>
      <c r="E54" s="63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</row>
    <row r="55" ht="15.75" customHeight="1">
      <c r="A55" s="63"/>
      <c r="B55" s="63"/>
      <c r="C55" s="63"/>
      <c r="D55" s="63"/>
      <c r="E55" s="63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</row>
    <row r="56" ht="15.75" customHeight="1">
      <c r="A56" s="63"/>
      <c r="B56" s="63"/>
      <c r="C56" s="63"/>
      <c r="D56" s="63"/>
      <c r="E56" s="63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</row>
    <row r="57" ht="15.75" customHeight="1">
      <c r="A57" s="63"/>
      <c r="B57" s="63"/>
      <c r="C57" s="63"/>
      <c r="D57" s="63"/>
      <c r="E57" s="63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</row>
    <row r="58" ht="15.75" customHeight="1">
      <c r="A58" s="63"/>
      <c r="B58" s="63"/>
      <c r="C58" s="63"/>
      <c r="D58" s="63"/>
      <c r="E58" s="63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</row>
    <row r="59" ht="15.75" customHeight="1">
      <c r="A59" s="63"/>
      <c r="B59" s="63"/>
      <c r="C59" s="63"/>
      <c r="D59" s="63"/>
      <c r="E59" s="63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</row>
    <row r="60" ht="15.75" customHeight="1">
      <c r="A60" s="63"/>
      <c r="B60" s="63"/>
      <c r="C60" s="63"/>
      <c r="D60" s="63"/>
      <c r="E60" s="63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</row>
    <row r="61" ht="15.75" customHeight="1">
      <c r="A61" s="63"/>
      <c r="B61" s="63"/>
      <c r="C61" s="63"/>
      <c r="D61" s="63"/>
      <c r="E61" s="63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</row>
    <row r="62" ht="15.75" customHeight="1">
      <c r="A62" s="63"/>
      <c r="B62" s="63"/>
      <c r="C62" s="63"/>
      <c r="D62" s="63"/>
      <c r="E62" s="63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</row>
    <row r="63" ht="15.75" customHeight="1">
      <c r="A63" s="63"/>
      <c r="B63" s="63"/>
      <c r="C63" s="63"/>
      <c r="D63" s="63"/>
      <c r="E63" s="63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</row>
    <row r="64" ht="15.75" customHeight="1">
      <c r="A64" s="63"/>
      <c r="B64" s="63"/>
      <c r="C64" s="63"/>
      <c r="D64" s="63"/>
      <c r="E64" s="63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</row>
    <row r="65" ht="15.75" customHeight="1">
      <c r="A65" s="63"/>
      <c r="B65" s="63"/>
      <c r="C65" s="63"/>
      <c r="D65" s="63"/>
      <c r="E65" s="63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</row>
    <row r="66" ht="15.75" customHeight="1">
      <c r="A66" s="63"/>
      <c r="B66" s="63"/>
      <c r="C66" s="63"/>
      <c r="D66" s="63"/>
      <c r="E66" s="63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</row>
    <row r="67" ht="15.75" customHeight="1">
      <c r="A67" s="63"/>
      <c r="B67" s="63"/>
      <c r="C67" s="63"/>
      <c r="D67" s="63"/>
      <c r="E67" s="63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</row>
    <row r="68" ht="15.75" customHeight="1">
      <c r="A68" s="63"/>
      <c r="B68" s="63"/>
      <c r="C68" s="63"/>
      <c r="D68" s="63"/>
      <c r="E68" s="63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</row>
    <row r="69" ht="15.75" customHeight="1">
      <c r="A69" s="63"/>
      <c r="B69" s="63"/>
      <c r="C69" s="63"/>
      <c r="D69" s="63"/>
      <c r="E69" s="63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</row>
    <row r="70" ht="15.75" customHeight="1">
      <c r="A70" s="63"/>
      <c r="B70" s="63"/>
      <c r="C70" s="63"/>
      <c r="D70" s="63"/>
      <c r="E70" s="63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</row>
    <row r="71" ht="15.75" customHeight="1">
      <c r="A71" s="63"/>
      <c r="B71" s="63"/>
      <c r="C71" s="63"/>
      <c r="D71" s="63"/>
      <c r="E71" s="63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</row>
    <row r="72" ht="15.75" customHeight="1">
      <c r="A72" s="63"/>
      <c r="B72" s="63"/>
      <c r="C72" s="63"/>
      <c r="D72" s="63"/>
      <c r="E72" s="63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</row>
    <row r="73" ht="15.75" customHeight="1">
      <c r="A73" s="63"/>
      <c r="B73" s="63"/>
      <c r="C73" s="63"/>
      <c r="D73" s="63"/>
      <c r="E73" s="63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</row>
    <row r="74" ht="15.75" customHeight="1">
      <c r="A74" s="63"/>
      <c r="B74" s="63"/>
      <c r="C74" s="63"/>
      <c r="D74" s="63"/>
      <c r="E74" s="63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</row>
    <row r="75" ht="15.75" customHeight="1">
      <c r="A75" s="63"/>
      <c r="B75" s="63"/>
      <c r="C75" s="63"/>
      <c r="D75" s="63"/>
      <c r="E75" s="63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</row>
    <row r="76" ht="15.75" customHeight="1">
      <c r="A76" s="63"/>
      <c r="B76" s="63"/>
      <c r="C76" s="63"/>
      <c r="D76" s="63"/>
      <c r="E76" s="63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</row>
    <row r="77" ht="15.75" customHeight="1">
      <c r="A77" s="63"/>
      <c r="B77" s="63"/>
      <c r="C77" s="63"/>
      <c r="D77" s="63"/>
      <c r="E77" s="63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</row>
    <row r="78" ht="15.75" customHeight="1">
      <c r="A78" s="63"/>
      <c r="B78" s="63"/>
      <c r="C78" s="63"/>
      <c r="D78" s="63"/>
      <c r="E78" s="63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</row>
    <row r="79" ht="15.75" customHeight="1">
      <c r="A79" s="63"/>
      <c r="B79" s="63"/>
      <c r="C79" s="63"/>
      <c r="D79" s="63"/>
      <c r="E79" s="63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</row>
    <row r="80" ht="15.75" customHeight="1">
      <c r="A80" s="63"/>
      <c r="B80" s="63"/>
      <c r="C80" s="63"/>
      <c r="D80" s="63"/>
      <c r="E80" s="63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</row>
    <row r="81" ht="15.75" customHeight="1">
      <c r="A81" s="63"/>
      <c r="B81" s="63"/>
      <c r="C81" s="63"/>
      <c r="D81" s="63"/>
      <c r="E81" s="63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</row>
    <row r="82" ht="15.75" customHeight="1">
      <c r="A82" s="63"/>
      <c r="B82" s="63"/>
      <c r="C82" s="63"/>
      <c r="D82" s="63"/>
      <c r="E82" s="63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</row>
    <row r="83" ht="15.75" customHeight="1">
      <c r="A83" s="63"/>
      <c r="B83" s="63"/>
      <c r="C83" s="63"/>
      <c r="D83" s="63"/>
      <c r="E83" s="63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</row>
    <row r="84" ht="15.75" customHeight="1">
      <c r="A84" s="63"/>
      <c r="B84" s="63"/>
      <c r="C84" s="63"/>
      <c r="D84" s="63"/>
      <c r="E84" s="63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</row>
    <row r="85" ht="15.75" customHeight="1">
      <c r="A85" s="63"/>
      <c r="B85" s="63"/>
      <c r="C85" s="63"/>
      <c r="D85" s="63"/>
      <c r="E85" s="63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</row>
    <row r="86" ht="15.75" customHeight="1">
      <c r="A86" s="63"/>
      <c r="B86" s="63"/>
      <c r="C86" s="63"/>
      <c r="D86" s="63"/>
      <c r="E86" s="63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</row>
    <row r="87" ht="15.75" customHeight="1">
      <c r="A87" s="63"/>
      <c r="B87" s="63"/>
      <c r="C87" s="63"/>
      <c r="D87" s="63"/>
      <c r="E87" s="63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</row>
    <row r="88" ht="15.75" customHeight="1">
      <c r="A88" s="63"/>
      <c r="B88" s="63"/>
      <c r="C88" s="63"/>
      <c r="D88" s="63"/>
      <c r="E88" s="63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</row>
    <row r="89" ht="15.75" customHeight="1">
      <c r="A89" s="63"/>
      <c r="B89" s="63"/>
      <c r="C89" s="63"/>
      <c r="D89" s="63"/>
      <c r="E89" s="63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</row>
    <row r="90" ht="15.75" customHeight="1">
      <c r="A90" s="63"/>
      <c r="B90" s="63"/>
      <c r="C90" s="63"/>
      <c r="D90" s="63"/>
      <c r="E90" s="63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</row>
    <row r="91" ht="15.75" customHeight="1">
      <c r="A91" s="63"/>
      <c r="B91" s="63"/>
      <c r="C91" s="63"/>
      <c r="D91" s="63"/>
      <c r="E91" s="63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</row>
    <row r="92" ht="15.75" customHeight="1">
      <c r="A92" s="63"/>
      <c r="B92" s="63"/>
      <c r="C92" s="63"/>
      <c r="D92" s="63"/>
      <c r="E92" s="63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</row>
    <row r="93" ht="15.75" customHeight="1">
      <c r="A93" s="63"/>
      <c r="B93" s="63"/>
      <c r="C93" s="63"/>
      <c r="D93" s="63"/>
      <c r="E93" s="63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</row>
    <row r="94" ht="15.75" customHeight="1">
      <c r="A94" s="63"/>
      <c r="B94" s="63"/>
      <c r="C94" s="63"/>
      <c r="D94" s="63"/>
      <c r="E94" s="63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</row>
    <row r="95" ht="15.75" customHeight="1">
      <c r="A95" s="63"/>
      <c r="B95" s="63"/>
      <c r="C95" s="63"/>
      <c r="D95" s="63"/>
      <c r="E95" s="63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</row>
    <row r="96" ht="15.75" customHeight="1">
      <c r="A96" s="63"/>
      <c r="B96" s="63"/>
      <c r="C96" s="63"/>
      <c r="D96" s="63"/>
      <c r="E96" s="63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</row>
    <row r="97" ht="15.75" customHeight="1">
      <c r="A97" s="63"/>
      <c r="B97" s="63"/>
      <c r="C97" s="63"/>
      <c r="D97" s="63"/>
      <c r="E97" s="63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</row>
    <row r="98" ht="15.75" customHeight="1">
      <c r="A98" s="63"/>
      <c r="B98" s="63"/>
      <c r="C98" s="63"/>
      <c r="D98" s="63"/>
      <c r="E98" s="63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</row>
    <row r="99" ht="15.75" customHeight="1">
      <c r="A99" s="63"/>
      <c r="B99" s="63"/>
      <c r="C99" s="63"/>
      <c r="D99" s="63"/>
      <c r="E99" s="63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</row>
    <row r="100" ht="15.75" customHeight="1">
      <c r="A100" s="63"/>
      <c r="B100" s="63"/>
      <c r="C100" s="63"/>
      <c r="D100" s="63"/>
      <c r="E100" s="63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</row>
    <row r="101" ht="15.75" customHeight="1">
      <c r="A101" s="63"/>
      <c r="B101" s="63"/>
      <c r="C101" s="63"/>
      <c r="D101" s="63"/>
      <c r="E101" s="63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</row>
    <row r="102" ht="15.75" customHeight="1">
      <c r="A102" s="63"/>
      <c r="B102" s="63"/>
      <c r="C102" s="63"/>
      <c r="D102" s="63"/>
      <c r="E102" s="63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</row>
    <row r="103" ht="15.75" customHeight="1">
      <c r="A103" s="63"/>
      <c r="B103" s="63"/>
      <c r="C103" s="63"/>
      <c r="D103" s="63"/>
      <c r="E103" s="63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</row>
    <row r="104" ht="15.75" customHeight="1">
      <c r="A104" s="63"/>
      <c r="B104" s="63"/>
      <c r="C104" s="63"/>
      <c r="D104" s="63"/>
      <c r="E104" s="63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</row>
    <row r="105" ht="15.75" customHeight="1">
      <c r="A105" s="63"/>
      <c r="B105" s="63"/>
      <c r="C105" s="63"/>
      <c r="D105" s="63"/>
      <c r="E105" s="63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</row>
    <row r="106" ht="15.75" customHeight="1">
      <c r="A106" s="63"/>
      <c r="B106" s="63"/>
      <c r="C106" s="63"/>
      <c r="D106" s="63"/>
      <c r="E106" s="63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</row>
    <row r="107" ht="15.75" customHeight="1">
      <c r="A107" s="63"/>
      <c r="B107" s="63"/>
      <c r="C107" s="63"/>
      <c r="D107" s="63"/>
      <c r="E107" s="63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</row>
    <row r="108" ht="15.75" customHeight="1">
      <c r="A108" s="63"/>
      <c r="B108" s="63"/>
      <c r="C108" s="63"/>
      <c r="D108" s="63"/>
      <c r="E108" s="63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</row>
    <row r="109" ht="15.75" customHeight="1">
      <c r="A109" s="63"/>
      <c r="B109" s="63"/>
      <c r="C109" s="63"/>
      <c r="D109" s="63"/>
      <c r="E109" s="63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</row>
    <row r="110" ht="15.75" customHeight="1">
      <c r="A110" s="63"/>
      <c r="B110" s="63"/>
      <c r="C110" s="63"/>
      <c r="D110" s="63"/>
      <c r="E110" s="63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</row>
    <row r="111" ht="15.75" customHeight="1">
      <c r="A111" s="63"/>
      <c r="B111" s="63"/>
      <c r="C111" s="63"/>
      <c r="D111" s="63"/>
      <c r="E111" s="63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</row>
    <row r="112" ht="15.75" customHeight="1">
      <c r="A112" s="63"/>
      <c r="B112" s="63"/>
      <c r="C112" s="63"/>
      <c r="D112" s="63"/>
      <c r="E112" s="63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</row>
    <row r="113" ht="15.75" customHeight="1">
      <c r="A113" s="63"/>
      <c r="B113" s="63"/>
      <c r="C113" s="63"/>
      <c r="D113" s="63"/>
      <c r="E113" s="63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</row>
    <row r="114" ht="15.75" customHeight="1">
      <c r="A114" s="63"/>
      <c r="B114" s="63"/>
      <c r="C114" s="63"/>
      <c r="D114" s="63"/>
      <c r="E114" s="63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</row>
    <row r="115" ht="15.75" customHeight="1">
      <c r="A115" s="63"/>
      <c r="B115" s="63"/>
      <c r="C115" s="63"/>
      <c r="D115" s="63"/>
      <c r="E115" s="63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</row>
    <row r="116" ht="15.75" customHeight="1">
      <c r="A116" s="63"/>
      <c r="B116" s="63"/>
      <c r="C116" s="63"/>
      <c r="D116" s="63"/>
      <c r="E116" s="63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</row>
    <row r="117" ht="15.75" customHeight="1">
      <c r="A117" s="63"/>
      <c r="B117" s="63"/>
      <c r="C117" s="63"/>
      <c r="D117" s="63"/>
      <c r="E117" s="63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</row>
    <row r="118" ht="15.75" customHeight="1">
      <c r="A118" s="63"/>
      <c r="B118" s="63"/>
      <c r="C118" s="63"/>
      <c r="D118" s="63"/>
      <c r="E118" s="63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</row>
    <row r="119" ht="15.75" customHeight="1">
      <c r="A119" s="63"/>
      <c r="B119" s="63"/>
      <c r="C119" s="63"/>
      <c r="D119" s="63"/>
      <c r="E119" s="63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</row>
    <row r="120" ht="15.75" customHeight="1">
      <c r="A120" s="63"/>
      <c r="B120" s="63"/>
      <c r="C120" s="63"/>
      <c r="D120" s="63"/>
      <c r="E120" s="63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</row>
    <row r="121" ht="15.75" customHeight="1">
      <c r="A121" s="63"/>
      <c r="B121" s="63"/>
      <c r="C121" s="63"/>
      <c r="D121" s="63"/>
      <c r="E121" s="63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</row>
    <row r="122" ht="15.75" customHeight="1">
      <c r="A122" s="63"/>
      <c r="B122" s="63"/>
      <c r="C122" s="63"/>
      <c r="D122" s="63"/>
      <c r="E122" s="63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</row>
    <row r="123" ht="15.75" customHeight="1">
      <c r="A123" s="63"/>
      <c r="B123" s="63"/>
      <c r="C123" s="63"/>
      <c r="D123" s="63"/>
      <c r="E123" s="63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</row>
    <row r="124" ht="15.75" customHeight="1">
      <c r="A124" s="63"/>
      <c r="B124" s="63"/>
      <c r="C124" s="63"/>
      <c r="D124" s="63"/>
      <c r="E124" s="63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</row>
    <row r="125" ht="15.75" customHeight="1">
      <c r="A125" s="63"/>
      <c r="B125" s="63"/>
      <c r="C125" s="63"/>
      <c r="D125" s="63"/>
      <c r="E125" s="63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</row>
    <row r="126" ht="15.75" customHeight="1">
      <c r="A126" s="63"/>
      <c r="B126" s="63"/>
      <c r="C126" s="63"/>
      <c r="D126" s="63"/>
      <c r="E126" s="63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</row>
    <row r="127" ht="15.75" customHeight="1">
      <c r="A127" s="63"/>
      <c r="B127" s="63"/>
      <c r="C127" s="63"/>
      <c r="D127" s="63"/>
      <c r="E127" s="63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</row>
    <row r="128" ht="15.75" customHeight="1">
      <c r="A128" s="63"/>
      <c r="B128" s="63"/>
      <c r="C128" s="63"/>
      <c r="D128" s="63"/>
      <c r="E128" s="63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</row>
    <row r="129" ht="15.75" customHeight="1">
      <c r="A129" s="63"/>
      <c r="B129" s="63"/>
      <c r="C129" s="63"/>
      <c r="D129" s="63"/>
      <c r="E129" s="63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</row>
    <row r="130" ht="15.75" customHeight="1">
      <c r="A130" s="63"/>
      <c r="B130" s="63"/>
      <c r="C130" s="63"/>
      <c r="D130" s="63"/>
      <c r="E130" s="63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</row>
    <row r="131" ht="15.75" customHeight="1">
      <c r="A131" s="63"/>
      <c r="B131" s="63"/>
      <c r="C131" s="63"/>
      <c r="D131" s="63"/>
      <c r="E131" s="63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</row>
    <row r="132" ht="15.75" customHeight="1">
      <c r="A132" s="63"/>
      <c r="B132" s="63"/>
      <c r="C132" s="63"/>
      <c r="D132" s="63"/>
      <c r="E132" s="63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</row>
    <row r="133" ht="15.75" customHeight="1">
      <c r="A133" s="63"/>
      <c r="B133" s="63"/>
      <c r="C133" s="63"/>
      <c r="D133" s="63"/>
      <c r="E133" s="63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</row>
    <row r="134" ht="15.75" customHeight="1">
      <c r="A134" s="63"/>
      <c r="B134" s="63"/>
      <c r="C134" s="63"/>
      <c r="D134" s="63"/>
      <c r="E134" s="63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</row>
    <row r="135" ht="15.75" customHeight="1">
      <c r="A135" s="63"/>
      <c r="B135" s="63"/>
      <c r="C135" s="63"/>
      <c r="D135" s="63"/>
      <c r="E135" s="63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</row>
    <row r="136" ht="15.75" customHeight="1">
      <c r="A136" s="63"/>
      <c r="B136" s="63"/>
      <c r="C136" s="63"/>
      <c r="D136" s="63"/>
      <c r="E136" s="63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</row>
    <row r="137" ht="15.75" customHeight="1">
      <c r="A137" s="63"/>
      <c r="B137" s="63"/>
      <c r="C137" s="63"/>
      <c r="D137" s="63"/>
      <c r="E137" s="63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</row>
    <row r="138" ht="15.75" customHeight="1">
      <c r="A138" s="63"/>
      <c r="B138" s="63"/>
      <c r="C138" s="63"/>
      <c r="D138" s="63"/>
      <c r="E138" s="63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</row>
    <row r="139" ht="15.75" customHeight="1">
      <c r="A139" s="63"/>
      <c r="B139" s="63"/>
      <c r="C139" s="63"/>
      <c r="D139" s="63"/>
      <c r="E139" s="63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</row>
    <row r="140" ht="15.75" customHeight="1">
      <c r="A140" s="63"/>
      <c r="B140" s="63"/>
      <c r="C140" s="63"/>
      <c r="D140" s="63"/>
      <c r="E140" s="63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</row>
    <row r="141" ht="15.75" customHeight="1">
      <c r="A141" s="63"/>
      <c r="B141" s="63"/>
      <c r="C141" s="63"/>
      <c r="D141" s="63"/>
      <c r="E141" s="63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</row>
    <row r="142" ht="15.75" customHeight="1">
      <c r="A142" s="63"/>
      <c r="B142" s="63"/>
      <c r="C142" s="63"/>
      <c r="D142" s="63"/>
      <c r="E142" s="63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</row>
    <row r="143" ht="15.75" customHeight="1">
      <c r="A143" s="63"/>
      <c r="B143" s="63"/>
      <c r="C143" s="63"/>
      <c r="D143" s="63"/>
      <c r="E143" s="63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</row>
    <row r="144" ht="15.75" customHeight="1">
      <c r="A144" s="63"/>
      <c r="B144" s="63"/>
      <c r="C144" s="63"/>
      <c r="D144" s="63"/>
      <c r="E144" s="63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</row>
    <row r="145" ht="15.75" customHeight="1">
      <c r="A145" s="63"/>
      <c r="B145" s="63"/>
      <c r="C145" s="63"/>
      <c r="D145" s="63"/>
      <c r="E145" s="63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</row>
    <row r="146" ht="15.75" customHeight="1">
      <c r="A146" s="63"/>
      <c r="B146" s="63"/>
      <c r="C146" s="63"/>
      <c r="D146" s="63"/>
      <c r="E146" s="63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</row>
    <row r="147" ht="15.75" customHeight="1">
      <c r="A147" s="63"/>
      <c r="B147" s="63"/>
      <c r="C147" s="63"/>
      <c r="D147" s="63"/>
      <c r="E147" s="63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</row>
    <row r="148" ht="15.75" customHeight="1">
      <c r="A148" s="63"/>
      <c r="B148" s="63"/>
      <c r="C148" s="63"/>
      <c r="D148" s="63"/>
      <c r="E148" s="63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</row>
    <row r="149" ht="15.75" customHeight="1">
      <c r="A149" s="63"/>
      <c r="B149" s="63"/>
      <c r="C149" s="63"/>
      <c r="D149" s="63"/>
      <c r="E149" s="63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</row>
    <row r="150" ht="15.75" customHeight="1">
      <c r="A150" s="63"/>
      <c r="B150" s="63"/>
      <c r="C150" s="63"/>
      <c r="D150" s="63"/>
      <c r="E150" s="63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</row>
    <row r="151" ht="15.75" customHeight="1">
      <c r="A151" s="63"/>
      <c r="B151" s="63"/>
      <c r="C151" s="63"/>
      <c r="D151" s="63"/>
      <c r="E151" s="63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</row>
    <row r="152" ht="15.75" customHeight="1">
      <c r="A152" s="63"/>
      <c r="B152" s="63"/>
      <c r="C152" s="63"/>
      <c r="D152" s="63"/>
      <c r="E152" s="63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</row>
    <row r="153" ht="15.75" customHeight="1">
      <c r="A153" s="63"/>
      <c r="B153" s="63"/>
      <c r="C153" s="63"/>
      <c r="D153" s="63"/>
      <c r="E153" s="63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</row>
    <row r="154" ht="15.75" customHeight="1">
      <c r="A154" s="63"/>
      <c r="B154" s="63"/>
      <c r="C154" s="63"/>
      <c r="D154" s="63"/>
      <c r="E154" s="63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</row>
    <row r="155" ht="15.75" customHeight="1">
      <c r="A155" s="63"/>
      <c r="B155" s="63"/>
      <c r="C155" s="63"/>
      <c r="D155" s="63"/>
      <c r="E155" s="63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</row>
    <row r="156" ht="15.75" customHeight="1">
      <c r="A156" s="63"/>
      <c r="B156" s="63"/>
      <c r="C156" s="63"/>
      <c r="D156" s="63"/>
      <c r="E156" s="63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</row>
    <row r="157" ht="15.75" customHeight="1">
      <c r="A157" s="63"/>
      <c r="B157" s="63"/>
      <c r="C157" s="63"/>
      <c r="D157" s="63"/>
      <c r="E157" s="63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</row>
    <row r="158" ht="15.75" customHeight="1">
      <c r="A158" s="63"/>
      <c r="B158" s="63"/>
      <c r="C158" s="63"/>
      <c r="D158" s="63"/>
      <c r="E158" s="63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</row>
    <row r="159" ht="15.75" customHeight="1">
      <c r="A159" s="63"/>
      <c r="B159" s="63"/>
      <c r="C159" s="63"/>
      <c r="D159" s="63"/>
      <c r="E159" s="63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</row>
    <row r="160" ht="15.75" customHeight="1">
      <c r="A160" s="63"/>
      <c r="B160" s="63"/>
      <c r="C160" s="63"/>
      <c r="D160" s="63"/>
      <c r="E160" s="63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</row>
    <row r="161" ht="15.75" customHeight="1">
      <c r="A161" s="63"/>
      <c r="B161" s="63"/>
      <c r="C161" s="63"/>
      <c r="D161" s="63"/>
      <c r="E161" s="63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</row>
    <row r="162" ht="15.75" customHeight="1">
      <c r="A162" s="63"/>
      <c r="B162" s="63"/>
      <c r="C162" s="63"/>
      <c r="D162" s="63"/>
      <c r="E162" s="63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</row>
    <row r="163" ht="15.75" customHeight="1">
      <c r="A163" s="63"/>
      <c r="B163" s="63"/>
      <c r="C163" s="63"/>
      <c r="D163" s="63"/>
      <c r="E163" s="63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</row>
    <row r="164" ht="15.75" customHeight="1">
      <c r="A164" s="63"/>
      <c r="B164" s="63"/>
      <c r="C164" s="63"/>
      <c r="D164" s="63"/>
      <c r="E164" s="63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</row>
    <row r="165" ht="15.75" customHeight="1">
      <c r="A165" s="63"/>
      <c r="B165" s="63"/>
      <c r="C165" s="63"/>
      <c r="D165" s="63"/>
      <c r="E165" s="63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</row>
    <row r="166" ht="15.75" customHeight="1">
      <c r="A166" s="63"/>
      <c r="B166" s="63"/>
      <c r="C166" s="63"/>
      <c r="D166" s="63"/>
      <c r="E166" s="63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</row>
    <row r="167" ht="15.75" customHeight="1">
      <c r="A167" s="63"/>
      <c r="B167" s="63"/>
      <c r="C167" s="63"/>
      <c r="D167" s="63"/>
      <c r="E167" s="63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</row>
    <row r="168" ht="15.75" customHeight="1">
      <c r="A168" s="63"/>
      <c r="B168" s="63"/>
      <c r="C168" s="63"/>
      <c r="D168" s="63"/>
      <c r="E168" s="63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</row>
    <row r="169" ht="15.75" customHeight="1">
      <c r="A169" s="63"/>
      <c r="B169" s="63"/>
      <c r="C169" s="63"/>
      <c r="D169" s="63"/>
      <c r="E169" s="63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</row>
    <row r="170" ht="15.75" customHeight="1">
      <c r="A170" s="63"/>
      <c r="B170" s="63"/>
      <c r="C170" s="63"/>
      <c r="D170" s="63"/>
      <c r="E170" s="63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</row>
    <row r="171" ht="15.75" customHeight="1">
      <c r="A171" s="63"/>
      <c r="B171" s="63"/>
      <c r="C171" s="63"/>
      <c r="D171" s="63"/>
      <c r="E171" s="63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</row>
    <row r="172" ht="15.75" customHeight="1">
      <c r="A172" s="63"/>
      <c r="B172" s="63"/>
      <c r="C172" s="63"/>
      <c r="D172" s="63"/>
      <c r="E172" s="63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</row>
    <row r="173" ht="15.75" customHeight="1">
      <c r="A173" s="63"/>
      <c r="B173" s="63"/>
      <c r="C173" s="63"/>
      <c r="D173" s="63"/>
      <c r="E173" s="63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</row>
    <row r="174" ht="15.75" customHeight="1">
      <c r="A174" s="63"/>
      <c r="B174" s="63"/>
      <c r="C174" s="63"/>
      <c r="D174" s="63"/>
      <c r="E174" s="63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</row>
    <row r="175" ht="15.75" customHeight="1">
      <c r="A175" s="63"/>
      <c r="B175" s="63"/>
      <c r="C175" s="63"/>
      <c r="D175" s="63"/>
      <c r="E175" s="63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</row>
    <row r="176" ht="15.75" customHeight="1">
      <c r="A176" s="63"/>
      <c r="B176" s="63"/>
      <c r="C176" s="63"/>
      <c r="D176" s="63"/>
      <c r="E176" s="63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</row>
    <row r="177" ht="15.75" customHeight="1">
      <c r="A177" s="63"/>
      <c r="B177" s="63"/>
      <c r="C177" s="63"/>
      <c r="D177" s="63"/>
      <c r="E177" s="63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</row>
    <row r="178" ht="15.75" customHeight="1">
      <c r="A178" s="63"/>
      <c r="B178" s="63"/>
      <c r="C178" s="63"/>
      <c r="D178" s="63"/>
      <c r="E178" s="63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</row>
    <row r="179" ht="15.75" customHeight="1">
      <c r="A179" s="63"/>
      <c r="B179" s="63"/>
      <c r="C179" s="63"/>
      <c r="D179" s="63"/>
      <c r="E179" s="63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</row>
    <row r="180" ht="15.75" customHeight="1">
      <c r="A180" s="63"/>
      <c r="B180" s="63"/>
      <c r="C180" s="63"/>
      <c r="D180" s="63"/>
      <c r="E180" s="63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</row>
    <row r="181" ht="15.75" customHeight="1">
      <c r="A181" s="63"/>
      <c r="B181" s="63"/>
      <c r="C181" s="63"/>
      <c r="D181" s="63"/>
      <c r="E181" s="63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</row>
    <row r="182" ht="15.75" customHeight="1">
      <c r="A182" s="63"/>
      <c r="B182" s="63"/>
      <c r="C182" s="63"/>
      <c r="D182" s="63"/>
      <c r="E182" s="63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</row>
    <row r="183" ht="15.75" customHeight="1">
      <c r="A183" s="63"/>
      <c r="B183" s="63"/>
      <c r="C183" s="63"/>
      <c r="D183" s="63"/>
      <c r="E183" s="63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</row>
    <row r="184" ht="15.75" customHeight="1">
      <c r="A184" s="63"/>
      <c r="B184" s="63"/>
      <c r="C184" s="63"/>
      <c r="D184" s="63"/>
      <c r="E184" s="63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</row>
    <row r="185" ht="15.75" customHeight="1">
      <c r="A185" s="63"/>
      <c r="B185" s="63"/>
      <c r="C185" s="63"/>
      <c r="D185" s="63"/>
      <c r="E185" s="63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</row>
    <row r="186" ht="15.75" customHeight="1">
      <c r="A186" s="63"/>
      <c r="B186" s="63"/>
      <c r="C186" s="63"/>
      <c r="D186" s="63"/>
      <c r="E186" s="63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</row>
    <row r="187" ht="15.75" customHeight="1">
      <c r="A187" s="63"/>
      <c r="B187" s="63"/>
      <c r="C187" s="63"/>
      <c r="D187" s="63"/>
      <c r="E187" s="63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</row>
    <row r="188" ht="15.75" customHeight="1">
      <c r="A188" s="63"/>
      <c r="B188" s="63"/>
      <c r="C188" s="63"/>
      <c r="D188" s="63"/>
      <c r="E188" s="63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</row>
    <row r="189" ht="15.75" customHeight="1">
      <c r="A189" s="63"/>
      <c r="B189" s="63"/>
      <c r="C189" s="63"/>
      <c r="D189" s="63"/>
      <c r="E189" s="63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</row>
    <row r="190" ht="15.75" customHeight="1">
      <c r="A190" s="63"/>
      <c r="B190" s="63"/>
      <c r="C190" s="63"/>
      <c r="D190" s="63"/>
      <c r="E190" s="63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</row>
    <row r="191" ht="15.75" customHeight="1">
      <c r="A191" s="63"/>
      <c r="B191" s="63"/>
      <c r="C191" s="63"/>
      <c r="D191" s="63"/>
      <c r="E191" s="63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</row>
    <row r="192" ht="15.75" customHeight="1">
      <c r="A192" s="63"/>
      <c r="B192" s="63"/>
      <c r="C192" s="63"/>
      <c r="D192" s="63"/>
      <c r="E192" s="63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</row>
    <row r="193" ht="15.75" customHeight="1">
      <c r="A193" s="63"/>
      <c r="B193" s="63"/>
      <c r="C193" s="63"/>
      <c r="D193" s="63"/>
      <c r="E193" s="63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</row>
    <row r="194" ht="15.75" customHeight="1">
      <c r="A194" s="63"/>
      <c r="B194" s="63"/>
      <c r="C194" s="63"/>
      <c r="D194" s="63"/>
      <c r="E194" s="63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</row>
    <row r="195" ht="15.75" customHeight="1">
      <c r="A195" s="63"/>
      <c r="B195" s="63"/>
      <c r="C195" s="63"/>
      <c r="D195" s="63"/>
      <c r="E195" s="63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</row>
    <row r="196" ht="15.75" customHeight="1">
      <c r="A196" s="63"/>
      <c r="B196" s="63"/>
      <c r="C196" s="63"/>
      <c r="D196" s="63"/>
      <c r="E196" s="63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</row>
    <row r="197" ht="15.75" customHeight="1">
      <c r="A197" s="63"/>
      <c r="B197" s="63"/>
      <c r="C197" s="63"/>
      <c r="D197" s="63"/>
      <c r="E197" s="63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</row>
    <row r="198" ht="15.75" customHeight="1">
      <c r="A198" s="63"/>
      <c r="B198" s="63"/>
      <c r="C198" s="63"/>
      <c r="D198" s="63"/>
      <c r="E198" s="63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</row>
    <row r="199" ht="15.75" customHeight="1">
      <c r="A199" s="63"/>
      <c r="B199" s="63"/>
      <c r="C199" s="63"/>
      <c r="D199" s="63"/>
      <c r="E199" s="63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</row>
    <row r="200" ht="15.75" customHeight="1">
      <c r="A200" s="63"/>
      <c r="B200" s="63"/>
      <c r="C200" s="63"/>
      <c r="D200" s="63"/>
      <c r="E200" s="63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</row>
    <row r="201" ht="15.75" customHeight="1">
      <c r="A201" s="63"/>
      <c r="B201" s="63"/>
      <c r="C201" s="63"/>
      <c r="D201" s="63"/>
      <c r="E201" s="63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</row>
    <row r="202" ht="15.75" customHeight="1">
      <c r="A202" s="63"/>
      <c r="B202" s="63"/>
      <c r="C202" s="63"/>
      <c r="D202" s="63"/>
      <c r="E202" s="63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</row>
    <row r="203" ht="15.75" customHeight="1">
      <c r="A203" s="63"/>
      <c r="B203" s="63"/>
      <c r="C203" s="63"/>
      <c r="D203" s="63"/>
      <c r="E203" s="63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</row>
    <row r="204" ht="15.75" customHeight="1">
      <c r="A204" s="63"/>
      <c r="B204" s="63"/>
      <c r="C204" s="63"/>
      <c r="D204" s="63"/>
      <c r="E204" s="63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</row>
    <row r="205" ht="15.75" customHeight="1">
      <c r="A205" s="63"/>
      <c r="B205" s="63"/>
      <c r="C205" s="63"/>
      <c r="D205" s="63"/>
      <c r="E205" s="63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</row>
    <row r="206" ht="15.75" customHeight="1">
      <c r="A206" s="63"/>
      <c r="B206" s="63"/>
      <c r="C206" s="63"/>
      <c r="D206" s="63"/>
      <c r="E206" s="63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</row>
    <row r="207" ht="15.75" customHeight="1">
      <c r="A207" s="63"/>
      <c r="B207" s="63"/>
      <c r="C207" s="63"/>
      <c r="D207" s="63"/>
      <c r="E207" s="63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</row>
    <row r="208" ht="15.75" customHeight="1">
      <c r="A208" s="63"/>
      <c r="B208" s="63"/>
      <c r="C208" s="63"/>
      <c r="D208" s="63"/>
      <c r="E208" s="63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</row>
    <row r="209" ht="15.75" customHeight="1">
      <c r="A209" s="63"/>
      <c r="B209" s="63"/>
      <c r="C209" s="63"/>
      <c r="D209" s="63"/>
      <c r="E209" s="63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</row>
    <row r="210" ht="15.75" customHeight="1">
      <c r="A210" s="63"/>
      <c r="B210" s="63"/>
      <c r="C210" s="63"/>
      <c r="D210" s="63"/>
      <c r="E210" s="63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</row>
    <row r="211" ht="15.75" customHeight="1">
      <c r="A211" s="63"/>
      <c r="B211" s="63"/>
      <c r="C211" s="63"/>
      <c r="D211" s="63"/>
      <c r="E211" s="63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</row>
    <row r="212" ht="15.75" customHeight="1">
      <c r="A212" s="63"/>
      <c r="B212" s="63"/>
      <c r="C212" s="63"/>
      <c r="D212" s="63"/>
      <c r="E212" s="63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</row>
    <row r="213" ht="15.75" customHeight="1">
      <c r="A213" s="63"/>
      <c r="B213" s="63"/>
      <c r="C213" s="63"/>
      <c r="D213" s="63"/>
      <c r="E213" s="63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</row>
    <row r="214" ht="15.75" customHeight="1">
      <c r="A214" s="63"/>
      <c r="B214" s="63"/>
      <c r="C214" s="63"/>
      <c r="D214" s="63"/>
      <c r="E214" s="63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</row>
    <row r="215" ht="15.75" customHeight="1">
      <c r="A215" s="63"/>
      <c r="B215" s="63"/>
      <c r="C215" s="63"/>
      <c r="D215" s="63"/>
      <c r="E215" s="63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</row>
    <row r="216" ht="15.75" customHeight="1">
      <c r="A216" s="63"/>
      <c r="B216" s="63"/>
      <c r="C216" s="63"/>
      <c r="D216" s="63"/>
      <c r="E216" s="63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</row>
    <row r="217" ht="15.75" customHeight="1">
      <c r="A217" s="63"/>
      <c r="B217" s="63"/>
      <c r="C217" s="63"/>
      <c r="D217" s="63"/>
      <c r="E217" s="63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</row>
    <row r="218" ht="15.75" customHeight="1">
      <c r="A218" s="63"/>
      <c r="B218" s="63"/>
      <c r="C218" s="63"/>
      <c r="D218" s="63"/>
      <c r="E218" s="63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</row>
    <row r="219" ht="15.75" customHeight="1">
      <c r="A219" s="63"/>
      <c r="B219" s="63"/>
      <c r="C219" s="63"/>
      <c r="D219" s="63"/>
      <c r="E219" s="63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</row>
    <row r="220" ht="15.75" customHeight="1">
      <c r="A220" s="63"/>
      <c r="B220" s="63"/>
      <c r="C220" s="63"/>
      <c r="D220" s="63"/>
      <c r="E220" s="63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</row>
    <row r="221" ht="15.75" customHeight="1">
      <c r="A221" s="63"/>
      <c r="B221" s="63"/>
      <c r="C221" s="63"/>
      <c r="D221" s="63"/>
      <c r="E221" s="63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</row>
    <row r="222" ht="15.75" customHeight="1">
      <c r="A222" s="63"/>
      <c r="B222" s="63"/>
      <c r="C222" s="63"/>
      <c r="D222" s="63"/>
      <c r="E222" s="63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</row>
    <row r="223" ht="15.75" customHeight="1">
      <c r="A223" s="63"/>
      <c r="B223" s="63"/>
      <c r="C223" s="63"/>
      <c r="D223" s="63"/>
      <c r="E223" s="63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</row>
  </sheetData>
  <dataValidations>
    <dataValidation type="list" allowBlank="1" showErrorMessage="1" sqref="D2:D23">
      <formula1>"Mechanical,Electrical"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75"/>
    <col customWidth="1" min="2" max="2" width="20.13"/>
    <col customWidth="1" min="3" max="3" width="29.5"/>
    <col customWidth="1" min="4" max="4" width="10.88"/>
    <col customWidth="1" min="5" max="5" width="8.5"/>
    <col customWidth="1" min="6" max="6" width="10.38"/>
    <col customWidth="1" min="7" max="11" width="11.75"/>
  </cols>
  <sheetData>
    <row r="1" ht="32.25" customHeight="1">
      <c r="A1" s="64" t="s">
        <v>147</v>
      </c>
      <c r="B1" s="64" t="s">
        <v>148</v>
      </c>
      <c r="C1" s="2" t="s">
        <v>2</v>
      </c>
      <c r="D1" s="64" t="s">
        <v>149</v>
      </c>
      <c r="E1" s="2" t="s">
        <v>150</v>
      </c>
      <c r="F1" s="2" t="s">
        <v>151</v>
      </c>
      <c r="G1" s="20" t="s">
        <v>6</v>
      </c>
      <c r="H1" s="20" t="s">
        <v>152</v>
      </c>
      <c r="I1" s="20" t="s">
        <v>7</v>
      </c>
      <c r="J1" s="20" t="s">
        <v>9</v>
      </c>
      <c r="K1" s="20" t="s">
        <v>10</v>
      </c>
      <c r="L1" s="65"/>
      <c r="M1" s="65"/>
      <c r="N1" s="65"/>
      <c r="O1" s="65"/>
      <c r="P1" s="65"/>
      <c r="Q1" s="65"/>
      <c r="R1" s="65"/>
      <c r="S1" s="65"/>
      <c r="T1" s="65"/>
      <c r="U1" s="65"/>
    </row>
    <row r="2" ht="15.75" customHeight="1">
      <c r="A2" s="61">
        <v>1.0</v>
      </c>
      <c r="B2" s="23" t="s">
        <v>153</v>
      </c>
      <c r="C2" s="5" t="s">
        <v>154</v>
      </c>
      <c r="D2" s="23" t="s">
        <v>66</v>
      </c>
      <c r="E2" s="24">
        <v>422.68800000000005</v>
      </c>
      <c r="F2" s="24">
        <v>546.09375</v>
      </c>
      <c r="G2" s="60">
        <v>0.28</v>
      </c>
      <c r="H2" s="23">
        <v>541.0</v>
      </c>
      <c r="I2" s="23">
        <v>699.0</v>
      </c>
      <c r="J2" s="28">
        <f t="shared" ref="J2:J16" si="1">(I2-H2)/H2</f>
        <v>0.292051756</v>
      </c>
      <c r="K2" s="23">
        <v>1049.0</v>
      </c>
    </row>
    <row r="3" ht="15.75" customHeight="1">
      <c r="A3" s="61">
        <v>2.0</v>
      </c>
      <c r="B3" s="23" t="s">
        <v>40</v>
      </c>
      <c r="C3" s="5" t="s">
        <v>155</v>
      </c>
      <c r="D3" s="23" t="s">
        <v>66</v>
      </c>
      <c r="E3" s="24">
        <v>2891.4900000000002</v>
      </c>
      <c r="F3" s="24">
        <v>3614.3625</v>
      </c>
      <c r="G3" s="60">
        <v>0.28</v>
      </c>
      <c r="H3" s="24">
        <v>3701.1072000000004</v>
      </c>
      <c r="I3" s="24">
        <v>4649.0</v>
      </c>
      <c r="J3" s="28">
        <f t="shared" si="1"/>
        <v>0.2561106039</v>
      </c>
      <c r="K3" s="23">
        <v>5499.0</v>
      </c>
    </row>
    <row r="4" ht="15.75" customHeight="1">
      <c r="A4" s="61">
        <v>3.0</v>
      </c>
      <c r="B4" s="23" t="s">
        <v>11</v>
      </c>
      <c r="C4" s="5" t="s">
        <v>67</v>
      </c>
      <c r="D4" s="23" t="s">
        <v>66</v>
      </c>
      <c r="E4" s="24">
        <v>165.15345</v>
      </c>
      <c r="F4" s="24">
        <v>233.59375</v>
      </c>
      <c r="G4" s="60">
        <v>0.28</v>
      </c>
      <c r="H4" s="24">
        <v>211.396416</v>
      </c>
      <c r="I4" s="24">
        <v>299.0</v>
      </c>
      <c r="J4" s="28">
        <f t="shared" si="1"/>
        <v>0.414404301</v>
      </c>
      <c r="K4" s="23">
        <v>499.0</v>
      </c>
    </row>
    <row r="5" ht="15.75" customHeight="1">
      <c r="A5" s="61">
        <v>4.0</v>
      </c>
      <c r="B5" s="23" t="s">
        <v>14</v>
      </c>
      <c r="C5" s="5" t="s">
        <v>156</v>
      </c>
      <c r="D5" s="23" t="s">
        <v>66</v>
      </c>
      <c r="E5" s="24">
        <v>571.9875</v>
      </c>
      <c r="F5" s="23">
        <v>715.0</v>
      </c>
      <c r="G5" s="60">
        <v>0.28</v>
      </c>
      <c r="H5" s="24">
        <v>732.144</v>
      </c>
      <c r="I5" s="24">
        <v>915.2</v>
      </c>
      <c r="J5" s="28">
        <f t="shared" si="1"/>
        <v>0.250027317</v>
      </c>
      <c r="K5" s="23">
        <v>1099.0</v>
      </c>
    </row>
    <row r="6" ht="15.75" customHeight="1">
      <c r="A6" s="61">
        <v>5.0</v>
      </c>
      <c r="B6" s="23" t="s">
        <v>157</v>
      </c>
      <c r="C6" s="5" t="s">
        <v>158</v>
      </c>
      <c r="D6" s="23" t="s">
        <v>66</v>
      </c>
      <c r="E6" s="24">
        <v>330.60299999999995</v>
      </c>
      <c r="F6" s="23">
        <v>429.0</v>
      </c>
      <c r="G6" s="60">
        <v>0.28</v>
      </c>
      <c r="H6" s="24">
        <v>423.17184</v>
      </c>
      <c r="I6" s="24">
        <v>549.0</v>
      </c>
      <c r="J6" s="28">
        <f t="shared" si="1"/>
        <v>0.2973453054</v>
      </c>
      <c r="K6" s="23">
        <v>699.0</v>
      </c>
    </row>
    <row r="7" ht="15.75" customHeight="1">
      <c r="A7" s="61">
        <v>6.0</v>
      </c>
      <c r="B7" s="23" t="s">
        <v>159</v>
      </c>
      <c r="C7" s="11" t="s">
        <v>160</v>
      </c>
      <c r="D7" s="23" t="s">
        <v>66</v>
      </c>
      <c r="E7" s="24">
        <v>781.3679999999999</v>
      </c>
      <c r="F7" s="23">
        <v>912.0</v>
      </c>
      <c r="G7" s="60">
        <v>0.28</v>
      </c>
      <c r="H7" s="24">
        <v>1000.15104</v>
      </c>
      <c r="I7" s="23">
        <v>1170.0</v>
      </c>
      <c r="J7" s="28">
        <f t="shared" si="1"/>
        <v>0.1698233099</v>
      </c>
      <c r="K7" s="23">
        <v>1399.0</v>
      </c>
    </row>
    <row r="8" ht="15.75" customHeight="1">
      <c r="A8" s="61">
        <v>7.0</v>
      </c>
      <c r="B8" s="23" t="s">
        <v>24</v>
      </c>
      <c r="C8" s="11" t="s">
        <v>161</v>
      </c>
      <c r="D8" s="23" t="s">
        <v>66</v>
      </c>
      <c r="E8" s="24">
        <v>248.47200000000004</v>
      </c>
      <c r="F8" s="24">
        <v>311.71875</v>
      </c>
      <c r="G8" s="60">
        <v>0.28</v>
      </c>
      <c r="H8" s="24">
        <v>318.04416000000003</v>
      </c>
      <c r="I8" s="23">
        <v>399.0</v>
      </c>
      <c r="J8" s="28">
        <f t="shared" si="1"/>
        <v>0.2545427654</v>
      </c>
      <c r="K8" s="23">
        <v>599.0</v>
      </c>
    </row>
    <row r="9" ht="15.75" customHeight="1">
      <c r="A9" s="61">
        <v>8.0</v>
      </c>
      <c r="B9" s="35" t="s">
        <v>28</v>
      </c>
      <c r="C9" s="11" t="s">
        <v>98</v>
      </c>
      <c r="D9" s="23" t="s">
        <v>66</v>
      </c>
      <c r="E9" s="24">
        <v>321.77250000000004</v>
      </c>
      <c r="F9" s="23">
        <v>390.0</v>
      </c>
      <c r="G9" s="60">
        <v>0.28</v>
      </c>
      <c r="H9" s="24">
        <v>411.8688000000001</v>
      </c>
      <c r="I9" s="23">
        <v>499.0</v>
      </c>
      <c r="J9" s="28">
        <f t="shared" si="1"/>
        <v>0.2115508628</v>
      </c>
      <c r="K9" s="23">
        <v>699.0</v>
      </c>
    </row>
    <row r="10" ht="15.75" customHeight="1">
      <c r="A10" s="61">
        <v>9.0</v>
      </c>
      <c r="B10" s="35" t="s">
        <v>162</v>
      </c>
      <c r="C10" s="11" t="s">
        <v>80</v>
      </c>
      <c r="D10" s="23" t="s">
        <v>66</v>
      </c>
      <c r="E10" s="24">
        <v>368.34000000000003</v>
      </c>
      <c r="F10" s="24">
        <v>507.03125</v>
      </c>
      <c r="G10" s="60">
        <v>0.28</v>
      </c>
      <c r="H10" s="24">
        <v>471.47520000000003</v>
      </c>
      <c r="I10" s="23">
        <v>649.0</v>
      </c>
      <c r="J10" s="28">
        <f t="shared" si="1"/>
        <v>0.3765305153</v>
      </c>
      <c r="K10" s="23">
        <v>799.0</v>
      </c>
    </row>
    <row r="11" ht="15.75" customHeight="1">
      <c r="A11" s="61">
        <v>10.0</v>
      </c>
      <c r="B11" s="35" t="s">
        <v>163</v>
      </c>
      <c r="C11" s="11" t="s">
        <v>164</v>
      </c>
      <c r="D11" s="23" t="s">
        <v>66</v>
      </c>
      <c r="E11" s="24">
        <v>433.02</v>
      </c>
      <c r="F11" s="24">
        <v>585.15625</v>
      </c>
      <c r="G11" s="60">
        <v>0.28</v>
      </c>
      <c r="H11" s="24">
        <v>554.2656</v>
      </c>
      <c r="I11" s="23">
        <v>749.0</v>
      </c>
      <c r="J11" s="28">
        <f t="shared" si="1"/>
        <v>0.351337698</v>
      </c>
      <c r="K11" s="23">
        <v>899.0</v>
      </c>
    </row>
    <row r="12" ht="15.75" customHeight="1">
      <c r="A12" s="61">
        <v>11.0</v>
      </c>
      <c r="B12" s="35" t="s">
        <v>165</v>
      </c>
      <c r="C12" s="11" t="s">
        <v>166</v>
      </c>
      <c r="D12" s="35" t="s">
        <v>66</v>
      </c>
      <c r="E12" s="36">
        <v>1512.336</v>
      </c>
      <c r="F12" s="36">
        <v>1874.21875</v>
      </c>
      <c r="G12" s="60">
        <v>0.28</v>
      </c>
      <c r="H12" s="36">
        <v>1935.79008</v>
      </c>
      <c r="I12" s="35">
        <v>2399.0</v>
      </c>
      <c r="J12" s="28">
        <f t="shared" si="1"/>
        <v>0.2392872682</v>
      </c>
      <c r="K12" s="23">
        <v>2999.0</v>
      </c>
    </row>
    <row r="13" ht="15.75" customHeight="1">
      <c r="A13" s="61">
        <v>12.0</v>
      </c>
      <c r="B13" s="23" t="s">
        <v>84</v>
      </c>
      <c r="C13" s="5" t="s">
        <v>85</v>
      </c>
      <c r="D13" s="23" t="s">
        <v>66</v>
      </c>
      <c r="E13" s="23">
        <v>144.0</v>
      </c>
      <c r="F13" s="36">
        <v>194.53125</v>
      </c>
      <c r="G13" s="35">
        <v>0.28</v>
      </c>
      <c r="H13" s="36">
        <v>184.32</v>
      </c>
      <c r="I13" s="35">
        <v>249.0</v>
      </c>
      <c r="J13" s="28">
        <f t="shared" si="1"/>
        <v>0.3509114583</v>
      </c>
      <c r="K13" s="23">
        <v>399.0</v>
      </c>
    </row>
    <row r="14" ht="15.75" customHeight="1">
      <c r="A14" s="61">
        <v>13.0</v>
      </c>
      <c r="B14" s="23" t="s">
        <v>86</v>
      </c>
      <c r="C14" s="66" t="s">
        <v>87</v>
      </c>
      <c r="D14" s="23" t="s">
        <v>66</v>
      </c>
      <c r="E14" s="24">
        <v>51.40800000000001</v>
      </c>
      <c r="F14" s="36">
        <v>77.34375</v>
      </c>
      <c r="G14" s="35">
        <v>0.28</v>
      </c>
      <c r="H14" s="36">
        <v>65.80224000000001</v>
      </c>
      <c r="I14" s="35">
        <v>99.0</v>
      </c>
      <c r="J14" s="28">
        <f t="shared" si="1"/>
        <v>0.5045080532</v>
      </c>
      <c r="K14" s="23">
        <v>199.0</v>
      </c>
    </row>
    <row r="15" ht="15.75" customHeight="1">
      <c r="A15" s="61">
        <v>14.0</v>
      </c>
      <c r="B15" s="35" t="s">
        <v>167</v>
      </c>
      <c r="C15" s="11" t="s">
        <v>168</v>
      </c>
      <c r="D15" s="23" t="s">
        <v>66</v>
      </c>
      <c r="E15" s="23">
        <v>407.0</v>
      </c>
      <c r="F15" s="24">
        <v>546.09375</v>
      </c>
      <c r="G15" s="60">
        <v>0.28</v>
      </c>
      <c r="H15" s="36">
        <v>520.96</v>
      </c>
      <c r="I15" s="23">
        <v>699.0</v>
      </c>
      <c r="J15" s="28">
        <f t="shared" si="1"/>
        <v>0.3417536855</v>
      </c>
      <c r="K15" s="23">
        <v>899.0</v>
      </c>
    </row>
    <row r="16" ht="15.75" customHeight="1">
      <c r="A16" s="61">
        <v>15.0</v>
      </c>
      <c r="B16" s="35" t="s">
        <v>169</v>
      </c>
      <c r="C16" s="11" t="s">
        <v>89</v>
      </c>
      <c r="D16" s="23" t="s">
        <v>66</v>
      </c>
      <c r="E16" s="24">
        <v>439.3829999999999</v>
      </c>
      <c r="F16" s="24">
        <v>546.09375</v>
      </c>
      <c r="G16" s="60">
        <v>0.28</v>
      </c>
      <c r="H16" s="36">
        <v>562.4102399999999</v>
      </c>
      <c r="I16" s="23">
        <v>699.0</v>
      </c>
      <c r="J16" s="28">
        <f t="shared" si="1"/>
        <v>0.2428649948</v>
      </c>
      <c r="K16" s="23">
        <v>1099.0</v>
      </c>
    </row>
    <row r="17" ht="15.75" customHeight="1">
      <c r="A17" s="61">
        <v>16.0</v>
      </c>
      <c r="B17" s="35" t="s">
        <v>170</v>
      </c>
      <c r="C17" s="11" t="s">
        <v>71</v>
      </c>
      <c r="D17" s="23" t="s">
        <v>66</v>
      </c>
      <c r="E17" s="29">
        <v>425.0</v>
      </c>
      <c r="F17" s="29">
        <v>425.0</v>
      </c>
      <c r="G17" s="25">
        <v>0.28</v>
      </c>
      <c r="H17" s="36">
        <v>544.0</v>
      </c>
      <c r="I17" s="26">
        <v>699.0</v>
      </c>
      <c r="J17" s="28">
        <f t="shared" ref="J17:J18" si="2">(H17-I17)/I17</f>
        <v>-0.2217453505</v>
      </c>
      <c r="K17" s="26">
        <v>1299.0</v>
      </c>
    </row>
    <row r="18" ht="15.75" customHeight="1">
      <c r="A18" s="61">
        <v>17.0</v>
      </c>
      <c r="B18" s="35" t="s">
        <v>171</v>
      </c>
      <c r="C18" s="11" t="s">
        <v>73</v>
      </c>
      <c r="D18" s="23" t="s">
        <v>66</v>
      </c>
      <c r="E18" s="29">
        <v>425.0</v>
      </c>
      <c r="F18" s="29">
        <v>425.0</v>
      </c>
      <c r="G18" s="25">
        <v>0.28</v>
      </c>
      <c r="H18" s="36">
        <v>544.0</v>
      </c>
      <c r="I18" s="26">
        <v>699.0</v>
      </c>
      <c r="J18" s="28">
        <f t="shared" si="2"/>
        <v>-0.2217453505</v>
      </c>
      <c r="K18" s="26">
        <v>1299.0</v>
      </c>
    </row>
    <row r="19" ht="15.75" customHeight="1">
      <c r="A19" s="61">
        <v>18.0</v>
      </c>
      <c r="B19" s="35" t="s">
        <v>172</v>
      </c>
      <c r="C19" s="11" t="s">
        <v>93</v>
      </c>
      <c r="D19" s="23" t="s">
        <v>66</v>
      </c>
      <c r="E19" s="24">
        <v>448.2240000000001</v>
      </c>
      <c r="F19" s="24">
        <v>546.09375</v>
      </c>
      <c r="G19" s="60">
        <v>0.28</v>
      </c>
      <c r="H19" s="36">
        <v>573.7267200000001</v>
      </c>
      <c r="I19" s="26">
        <v>699.0</v>
      </c>
      <c r="J19" s="28">
        <f t="shared" ref="J19:J33" si="3">(I19-H19)/H19</f>
        <v>0.2183500883</v>
      </c>
      <c r="K19" s="23">
        <v>899.0</v>
      </c>
    </row>
    <row r="20" ht="15.75" customHeight="1">
      <c r="A20" s="61">
        <v>19.0</v>
      </c>
      <c r="B20" s="23" t="s">
        <v>173</v>
      </c>
      <c r="C20" s="11" t="s">
        <v>174</v>
      </c>
      <c r="D20" s="23" t="s">
        <v>66</v>
      </c>
      <c r="E20" s="23">
        <v>449.0</v>
      </c>
      <c r="F20" s="37">
        <v>585.15625</v>
      </c>
      <c r="G20" s="23">
        <v>0.28</v>
      </c>
      <c r="H20" s="24">
        <v>574.72</v>
      </c>
      <c r="I20" s="24">
        <v>749.0</v>
      </c>
      <c r="J20" s="28">
        <f t="shared" si="3"/>
        <v>0.3032433185</v>
      </c>
      <c r="K20" s="23">
        <v>949.0</v>
      </c>
    </row>
    <row r="21" ht="15.75" customHeight="1">
      <c r="A21" s="61">
        <v>20.0</v>
      </c>
      <c r="B21" s="23" t="s">
        <v>175</v>
      </c>
      <c r="C21" s="11" t="s">
        <v>176</v>
      </c>
      <c r="D21" s="23" t="s">
        <v>66</v>
      </c>
      <c r="E21" s="23">
        <v>1800.0</v>
      </c>
      <c r="F21" s="23">
        <v>2000.0</v>
      </c>
      <c r="G21" s="23">
        <v>0.28</v>
      </c>
      <c r="H21" s="24">
        <v>2304.0</v>
      </c>
      <c r="I21" s="23">
        <v>2560.0</v>
      </c>
      <c r="J21" s="28">
        <f t="shared" si="3"/>
        <v>0.1111111111</v>
      </c>
      <c r="K21" s="23">
        <v>3299.0</v>
      </c>
    </row>
    <row r="22" ht="15.75" customHeight="1">
      <c r="A22" s="61">
        <v>21.0</v>
      </c>
      <c r="B22" s="23" t="s">
        <v>105</v>
      </c>
      <c r="C22" s="5" t="s">
        <v>106</v>
      </c>
      <c r="D22" s="23" t="s">
        <v>66</v>
      </c>
      <c r="E22" s="24">
        <v>450.24</v>
      </c>
      <c r="F22" s="24">
        <v>546.09375</v>
      </c>
      <c r="G22" s="35">
        <v>0.28</v>
      </c>
      <c r="H22" s="36">
        <v>576.3072000000001</v>
      </c>
      <c r="I22" s="35">
        <v>699.0</v>
      </c>
      <c r="J22" s="28">
        <f t="shared" si="3"/>
        <v>0.2128947894</v>
      </c>
      <c r="K22" s="23">
        <v>799.0</v>
      </c>
    </row>
    <row r="23" ht="15.75" customHeight="1">
      <c r="A23" s="61">
        <v>22.0</v>
      </c>
      <c r="B23" s="23" t="s">
        <v>177</v>
      </c>
      <c r="C23" s="5" t="s">
        <v>178</v>
      </c>
      <c r="D23" s="23" t="s">
        <v>66</v>
      </c>
      <c r="E23" s="35">
        <v>160.0</v>
      </c>
      <c r="F23" s="24">
        <v>233.59375</v>
      </c>
      <c r="G23" s="35">
        <v>0.28</v>
      </c>
      <c r="H23" s="36">
        <v>204.8</v>
      </c>
      <c r="I23" s="23">
        <v>299.0</v>
      </c>
      <c r="J23" s="28">
        <f t="shared" si="3"/>
        <v>0.4599609375</v>
      </c>
      <c r="K23" s="23">
        <v>799.0</v>
      </c>
      <c r="L23" s="67"/>
      <c r="M23" s="67"/>
      <c r="N23" s="67"/>
      <c r="O23" s="67"/>
      <c r="P23" s="67"/>
      <c r="Q23" s="67"/>
      <c r="R23" s="67"/>
      <c r="S23" s="67"/>
      <c r="T23" s="67"/>
      <c r="U23" s="67"/>
    </row>
    <row r="24" ht="15.75" customHeight="1">
      <c r="A24" s="61">
        <v>23.0</v>
      </c>
      <c r="B24" s="23" t="s">
        <v>179</v>
      </c>
      <c r="C24" s="38"/>
      <c r="D24" s="23" t="s">
        <v>66</v>
      </c>
      <c r="E24" s="23">
        <v>250.0</v>
      </c>
      <c r="F24" s="37">
        <v>507.03125</v>
      </c>
      <c r="G24" s="35">
        <v>0.28</v>
      </c>
      <c r="H24" s="36">
        <v>320.0</v>
      </c>
      <c r="I24" s="35">
        <v>649.0</v>
      </c>
      <c r="J24" s="28">
        <f t="shared" si="3"/>
        <v>1.028125</v>
      </c>
      <c r="K24" s="23">
        <v>799.0</v>
      </c>
    </row>
    <row r="25" ht="15.75" customHeight="1">
      <c r="A25" s="61">
        <v>24.0</v>
      </c>
      <c r="B25" s="23" t="s">
        <v>180</v>
      </c>
      <c r="C25" s="11" t="s">
        <v>181</v>
      </c>
      <c r="D25" s="23" t="s">
        <v>66</v>
      </c>
      <c r="E25" s="24">
        <v>140.0</v>
      </c>
      <c r="F25" s="24">
        <v>217.96875</v>
      </c>
      <c r="G25" s="35">
        <v>0.28</v>
      </c>
      <c r="H25" s="36">
        <v>179.20000000000002</v>
      </c>
      <c r="I25" s="36">
        <v>279.0</v>
      </c>
      <c r="J25" s="28">
        <f t="shared" si="3"/>
        <v>0.5569196429</v>
      </c>
      <c r="K25" s="23">
        <v>349.0</v>
      </c>
    </row>
    <row r="26" ht="15.75" customHeight="1">
      <c r="A26" s="61">
        <v>25.0</v>
      </c>
      <c r="B26" s="23" t="s">
        <v>119</v>
      </c>
      <c r="C26" s="11" t="s">
        <v>182</v>
      </c>
      <c r="D26" s="23" t="s">
        <v>44</v>
      </c>
      <c r="E26" s="23">
        <v>193.0</v>
      </c>
      <c r="F26" s="24">
        <v>233.59375</v>
      </c>
      <c r="G26" s="35">
        <v>0.28</v>
      </c>
      <c r="H26" s="36">
        <v>247.04</v>
      </c>
      <c r="I26" s="35">
        <v>299.0</v>
      </c>
      <c r="J26" s="28">
        <f t="shared" si="3"/>
        <v>0.2103303109</v>
      </c>
      <c r="K26" s="23">
        <v>399.0</v>
      </c>
    </row>
    <row r="27" ht="15.75" customHeight="1">
      <c r="A27" s="61">
        <v>26.0</v>
      </c>
      <c r="B27" s="23" t="s">
        <v>121</v>
      </c>
      <c r="C27" s="11" t="s">
        <v>183</v>
      </c>
      <c r="D27" s="23" t="s">
        <v>44</v>
      </c>
      <c r="E27" s="23">
        <v>193.0</v>
      </c>
      <c r="F27" s="24">
        <v>233.59375</v>
      </c>
      <c r="G27" s="35">
        <v>0.28</v>
      </c>
      <c r="H27" s="36">
        <v>247.04</v>
      </c>
      <c r="I27" s="35">
        <v>299.0</v>
      </c>
      <c r="J27" s="28">
        <f t="shared" si="3"/>
        <v>0.2103303109</v>
      </c>
      <c r="K27" s="23">
        <v>399.0</v>
      </c>
    </row>
    <row r="28" ht="15.75" customHeight="1">
      <c r="A28" s="61">
        <v>27.0</v>
      </c>
      <c r="B28" s="35" t="s">
        <v>184</v>
      </c>
      <c r="C28" s="5" t="s">
        <v>185</v>
      </c>
      <c r="D28" s="23" t="s">
        <v>44</v>
      </c>
      <c r="E28" s="23">
        <v>4975.0</v>
      </c>
      <c r="F28" s="24">
        <v>5780.46875</v>
      </c>
      <c r="G28" s="35">
        <v>0.28</v>
      </c>
      <c r="H28" s="36">
        <v>6368.0</v>
      </c>
      <c r="I28" s="36">
        <v>7399.0</v>
      </c>
      <c r="J28" s="28">
        <f t="shared" si="3"/>
        <v>0.1619032663</v>
      </c>
      <c r="K28" s="23">
        <v>8199.0</v>
      </c>
    </row>
    <row r="29" ht="15.75" customHeight="1">
      <c r="A29" s="61">
        <v>28.0</v>
      </c>
      <c r="B29" s="23" t="s">
        <v>186</v>
      </c>
      <c r="C29" s="5" t="s">
        <v>187</v>
      </c>
      <c r="D29" s="23" t="s">
        <v>44</v>
      </c>
      <c r="E29" s="23">
        <v>649.0</v>
      </c>
      <c r="F29" s="24">
        <v>741.40625</v>
      </c>
      <c r="G29" s="60">
        <v>0.28</v>
      </c>
      <c r="H29" s="36">
        <v>830.72</v>
      </c>
      <c r="I29" s="36">
        <v>949.0</v>
      </c>
      <c r="J29" s="28">
        <f t="shared" si="3"/>
        <v>0.1423825116</v>
      </c>
      <c r="K29" s="23">
        <v>1099.0</v>
      </c>
    </row>
    <row r="30" ht="15.75" customHeight="1">
      <c r="A30" s="61">
        <v>29.0</v>
      </c>
      <c r="B30" s="35" t="s">
        <v>55</v>
      </c>
      <c r="C30" s="5" t="s">
        <v>116</v>
      </c>
      <c r="D30" s="23" t="s">
        <v>44</v>
      </c>
      <c r="E30" s="23">
        <v>509.0</v>
      </c>
      <c r="F30" s="24">
        <v>585.15625</v>
      </c>
      <c r="G30" s="35">
        <v>0.28</v>
      </c>
      <c r="H30" s="36">
        <v>651.52</v>
      </c>
      <c r="I30" s="35">
        <v>749.0</v>
      </c>
      <c r="J30" s="28">
        <f t="shared" si="3"/>
        <v>0.1496193517</v>
      </c>
      <c r="K30" s="23">
        <v>999.0</v>
      </c>
    </row>
    <row r="31" ht="15.75" customHeight="1">
      <c r="A31" s="61">
        <v>30.0</v>
      </c>
      <c r="B31" s="35" t="s">
        <v>188</v>
      </c>
      <c r="C31" s="5" t="s">
        <v>189</v>
      </c>
      <c r="D31" s="23" t="s">
        <v>44</v>
      </c>
      <c r="E31" s="24">
        <v>2353.4700000000003</v>
      </c>
      <c r="F31" s="24">
        <v>2733.59375</v>
      </c>
      <c r="G31" s="60">
        <v>0.28</v>
      </c>
      <c r="H31" s="36">
        <v>3012.4416000000006</v>
      </c>
      <c r="I31" s="23">
        <v>3499.0</v>
      </c>
      <c r="J31" s="28">
        <f t="shared" si="3"/>
        <v>0.161516293</v>
      </c>
      <c r="K31" s="23">
        <v>4599.0</v>
      </c>
    </row>
    <row r="32" ht="15.75" customHeight="1">
      <c r="A32" s="61">
        <v>31.0</v>
      </c>
      <c r="B32" s="23" t="s">
        <v>45</v>
      </c>
      <c r="C32" s="5" t="s">
        <v>190</v>
      </c>
      <c r="D32" s="23" t="s">
        <v>44</v>
      </c>
      <c r="E32" s="23">
        <v>2041.0</v>
      </c>
      <c r="F32" s="24">
        <v>2342.96875</v>
      </c>
      <c r="G32" s="35">
        <v>0.28</v>
      </c>
      <c r="H32" s="36">
        <v>2612.48</v>
      </c>
      <c r="I32" s="35">
        <v>2999.0</v>
      </c>
      <c r="J32" s="28">
        <f t="shared" si="3"/>
        <v>0.1479513719</v>
      </c>
      <c r="K32" s="23">
        <v>3999.0</v>
      </c>
    </row>
    <row r="33" ht="15.75" customHeight="1">
      <c r="A33" s="61">
        <v>32.0</v>
      </c>
      <c r="B33" s="23" t="s">
        <v>191</v>
      </c>
      <c r="C33" s="5" t="s">
        <v>115</v>
      </c>
      <c r="D33" s="23" t="s">
        <v>44</v>
      </c>
      <c r="E33" s="24">
        <v>610.733695652174</v>
      </c>
      <c r="F33" s="24">
        <v>702.34375</v>
      </c>
      <c r="G33" s="35">
        <v>0.28</v>
      </c>
      <c r="H33" s="36">
        <v>781.7391304347827</v>
      </c>
      <c r="I33" s="35">
        <v>899.0</v>
      </c>
      <c r="J33" s="28">
        <f t="shared" si="3"/>
        <v>0.15</v>
      </c>
      <c r="K33" s="23">
        <v>1099.0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13:D14">
      <formula1>"Mechanical,Electrical"</formula1>
    </dataValidation>
    <dataValidation type="list" allowBlank="1" showErrorMessage="1" sqref="D2:D12 D15:D33">
      <formula1>"Mechanical,Electrical,Packing"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3" max="3" width="26.88"/>
    <col customWidth="1" min="4" max="4" width="24.75"/>
    <col customWidth="1" min="5" max="5" width="33.0"/>
  </cols>
  <sheetData>
    <row r="1" ht="54.75" customHeight="1">
      <c r="A1" s="68" t="s">
        <v>192</v>
      </c>
      <c r="B1" s="69" t="s">
        <v>193</v>
      </c>
      <c r="C1" s="69" t="s">
        <v>194</v>
      </c>
      <c r="D1" s="69" t="s">
        <v>195</v>
      </c>
      <c r="E1" s="2" t="s">
        <v>2</v>
      </c>
      <c r="F1" s="69" t="s">
        <v>10</v>
      </c>
      <c r="G1" s="69" t="s">
        <v>196</v>
      </c>
      <c r="H1" s="70" t="s">
        <v>8</v>
      </c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</row>
    <row r="2" ht="15.75" customHeight="1">
      <c r="A2" s="71">
        <v>1.0</v>
      </c>
      <c r="B2" s="72" t="s">
        <v>197</v>
      </c>
      <c r="C2" s="72" t="s">
        <v>198</v>
      </c>
      <c r="D2" s="72" t="s">
        <v>199</v>
      </c>
      <c r="E2" s="72" t="s">
        <v>200</v>
      </c>
      <c r="F2" s="72">
        <v>799.0</v>
      </c>
      <c r="G2" s="72">
        <v>699.0</v>
      </c>
      <c r="H2" s="73">
        <v>399.0</v>
      </c>
    </row>
    <row r="3" ht="15.75" customHeight="1">
      <c r="A3" s="71">
        <v>2.0</v>
      </c>
      <c r="B3" s="72" t="s">
        <v>197</v>
      </c>
      <c r="C3" s="72" t="s">
        <v>198</v>
      </c>
      <c r="D3" s="72" t="s">
        <v>201</v>
      </c>
      <c r="E3" s="56" t="s">
        <v>202</v>
      </c>
      <c r="F3" s="72">
        <v>799.0</v>
      </c>
      <c r="G3" s="72">
        <v>699.0</v>
      </c>
      <c r="H3" s="73">
        <v>359.0</v>
      </c>
    </row>
    <row r="4" ht="15.75" customHeight="1">
      <c r="A4" s="71">
        <v>3.0</v>
      </c>
      <c r="B4" s="72" t="s">
        <v>203</v>
      </c>
      <c r="C4" s="72" t="s">
        <v>198</v>
      </c>
      <c r="D4" s="72" t="s">
        <v>204</v>
      </c>
      <c r="E4" s="74" t="s">
        <v>205</v>
      </c>
      <c r="F4" s="72">
        <v>799.0</v>
      </c>
      <c r="G4" s="72">
        <v>799.0</v>
      </c>
      <c r="H4" s="73">
        <v>539.0</v>
      </c>
    </row>
    <row r="5" ht="15.75" customHeight="1">
      <c r="A5" s="71">
        <v>4.0</v>
      </c>
      <c r="B5" s="72" t="s">
        <v>203</v>
      </c>
      <c r="C5" s="72" t="s">
        <v>198</v>
      </c>
      <c r="D5" s="72" t="s">
        <v>206</v>
      </c>
      <c r="E5" s="74" t="s">
        <v>207</v>
      </c>
      <c r="F5" s="72">
        <v>799.0</v>
      </c>
      <c r="G5" s="72">
        <v>799.0</v>
      </c>
      <c r="H5" s="73">
        <v>479.0</v>
      </c>
    </row>
    <row r="6" ht="15.75" customHeight="1">
      <c r="A6" s="71">
        <v>5.0</v>
      </c>
      <c r="B6" s="72" t="s">
        <v>208</v>
      </c>
      <c r="C6" s="72" t="s">
        <v>198</v>
      </c>
      <c r="D6" s="72" t="s">
        <v>209</v>
      </c>
      <c r="E6" s="72" t="s">
        <v>210</v>
      </c>
      <c r="F6" s="72">
        <v>1499.0</v>
      </c>
      <c r="G6" s="72">
        <v>1199.0</v>
      </c>
      <c r="H6" s="73">
        <v>839.0</v>
      </c>
    </row>
    <row r="7" ht="15.75" customHeight="1">
      <c r="A7" s="71">
        <v>7.0</v>
      </c>
      <c r="B7" s="72" t="s">
        <v>211</v>
      </c>
      <c r="C7" s="72" t="s">
        <v>212</v>
      </c>
      <c r="D7" s="72" t="s">
        <v>213</v>
      </c>
      <c r="E7" s="74" t="s">
        <v>214</v>
      </c>
      <c r="F7" s="72">
        <v>1099.0</v>
      </c>
      <c r="G7" s="72">
        <v>899.0</v>
      </c>
      <c r="H7" s="73">
        <v>659.0</v>
      </c>
    </row>
    <row r="8" ht="15.75" customHeight="1"/>
    <row r="9" ht="15.75" customHeight="1"/>
    <row r="10" ht="15.75" customHeight="1"/>
    <row r="11" ht="15.75" customHeight="1">
      <c r="D11" s="67"/>
      <c r="E11" s="67"/>
      <c r="F11" s="6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2024-02-23T14:51:54Z</dcterms:created>
  <dc:creator>HP</dc:creator>
</cp:coreProperties>
</file>