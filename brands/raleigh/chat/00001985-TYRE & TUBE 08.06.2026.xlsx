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205" activeTab="1"/>
  </bookViews>
  <sheets>
    <sheet name="ORDER VALUE" sheetId="1" r:id="rId1"/>
    <sheet name="MAXXIS+KENDA" sheetId="4" r:id="rId2"/>
  </sheets>
  <definedNames>
    <definedName name="_xlnm.Print_Area" localSheetId="1">'MAXXIS+KENDA'!$A$1:$J$28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" l="1"/>
  <c r="K28" i="4"/>
  <c r="K27" i="4"/>
  <c r="K26" i="4"/>
  <c r="K25" i="4"/>
  <c r="K24" i="4"/>
  <c r="K23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7" i="4"/>
  <c r="K6" i="4"/>
  <c r="K5" i="4"/>
  <c r="K4" i="4"/>
  <c r="K2" i="4" l="1"/>
  <c r="D3" i="1" s="1"/>
  <c r="D4" i="1" s="1"/>
</calcChain>
</file>

<file path=xl/sharedStrings.xml><?xml version="1.0" encoding="utf-8"?>
<sst xmlns="http://schemas.openxmlformats.org/spreadsheetml/2006/main" count="89" uniqueCount="53">
  <si>
    <t>ORDER VALUE - W/OUT GST</t>
  </si>
  <si>
    <t>TOTAL AMT</t>
  </si>
  <si>
    <t>ITEM DESCRIPTION</t>
  </si>
  <si>
    <t>ITEM CODE</t>
  </si>
  <si>
    <t>M.R.P</t>
  </si>
  <si>
    <t>YOUR ORDER (Please Mark Qty only)</t>
  </si>
  <si>
    <t>AVAILABILITY/ SIGNAL</t>
  </si>
  <si>
    <t>UNIT</t>
  </si>
  <si>
    <t>AVAILABLE.</t>
  </si>
  <si>
    <t>PCS</t>
  </si>
  <si>
    <t>TOTAL QTY</t>
  </si>
  <si>
    <t>TOTAL ORDER QTY</t>
  </si>
  <si>
    <t>GREEN
AVAILABLE</t>
  </si>
  <si>
    <t>RED
NOT AVAILABLE</t>
  </si>
  <si>
    <t>SR.NO.</t>
  </si>
  <si>
    <t>GST</t>
  </si>
  <si>
    <t>B.D.P</t>
  </si>
  <si>
    <t>MAXXIS FOLDABLE &amp; TUBELESS TYRES</t>
  </si>
  <si>
    <t>TYRE 27.5 x 2.30" MAXXIS (HIGH ROLLER II) - FOLDABLE TUBELESS</t>
  </si>
  <si>
    <t>M325RU</t>
  </si>
  <si>
    <t>NOT AVAILABLE</t>
  </si>
  <si>
    <t>TYRE 27.5 x 2.30" MAXXIS (MINION DHF) - FOLDABLE TUBELESS</t>
  </si>
  <si>
    <t>M301RU</t>
  </si>
  <si>
    <t>TYRE 27.5 x 2.30" MAXXIS (MINION DHR II) - FOLDABLE TUBELESS</t>
  </si>
  <si>
    <t>M327RU</t>
  </si>
  <si>
    <t>TYRE 27.5 x 2.25" MAXXIS (ARDENT) - FOLDABLE</t>
  </si>
  <si>
    <t>M315P</t>
  </si>
  <si>
    <t>MAXXIS NORMAL TYRE</t>
  </si>
  <si>
    <t>FOR ROAD</t>
  </si>
  <si>
    <t>TYRE 700 x 25C MAXXIS (DETONATOR)</t>
  </si>
  <si>
    <t>M203</t>
  </si>
  <si>
    <t>TYRE 700 x 25C MAXXIS (PURSUER)</t>
  </si>
  <si>
    <t>M225</t>
  </si>
  <si>
    <t>FOR MTB</t>
  </si>
  <si>
    <t>M355P</t>
  </si>
  <si>
    <r>
      <t xml:space="preserve">TYRE 27.5 x 2.25 MAXXIS </t>
    </r>
    <r>
      <rPr>
        <sz val="12"/>
        <color indexed="8"/>
        <rFont val="Calibri"/>
        <family val="2"/>
      </rPr>
      <t xml:space="preserve">(REKON RACE) </t>
    </r>
    <r>
      <rPr>
        <b/>
        <sz val="14"/>
        <color indexed="10"/>
        <rFont val="Calibri"/>
        <family val="2"/>
      </rPr>
      <t>SKIN WALL</t>
    </r>
  </si>
  <si>
    <r>
      <t xml:space="preserve">TYRE 27.5 x 2.35 MAXXIS </t>
    </r>
    <r>
      <rPr>
        <sz val="12"/>
        <color indexed="8"/>
        <rFont val="Calibri"/>
        <family val="2"/>
      </rPr>
      <t>(FOREKASTER)</t>
    </r>
  </si>
  <si>
    <t>M348P</t>
  </si>
  <si>
    <t>TYRE 27.5 x 2.40 MAXXIS (ARDENT)+B21</t>
  </si>
  <si>
    <t>MTB TYRES KENDA</t>
  </si>
  <si>
    <t xml:space="preserve">TYRE 27.5X2.60 KENDA </t>
  </si>
  <si>
    <t>K1247</t>
  </si>
  <si>
    <t>K1221</t>
  </si>
  <si>
    <t xml:space="preserve">TYRE 29X 2.40, KENDA </t>
  </si>
  <si>
    <t>K1269</t>
  </si>
  <si>
    <t xml:space="preserve">TYRE 29X 2.60, KENDA </t>
  </si>
  <si>
    <t>MAXXIS BUTYL TUBES WITH BOX PACKING</t>
  </si>
  <si>
    <r>
      <t xml:space="preserve">BICYCLE TUBE 27.5 x 1.90/2.35 0.8  - </t>
    </r>
    <r>
      <rPr>
        <b/>
        <sz val="11"/>
        <color indexed="8"/>
        <rFont val="Arial"/>
        <family val="2"/>
      </rPr>
      <t>AV35 MM</t>
    </r>
  </si>
  <si>
    <t>BOX PACKING</t>
  </si>
  <si>
    <t>FOR MTB - OVERSIZE</t>
  </si>
  <si>
    <r>
      <t xml:space="preserve">BICYCLE TUBE 27.5 x 2.2/2.50 0.8 </t>
    </r>
    <r>
      <rPr>
        <b/>
        <sz val="11"/>
        <color indexed="8"/>
        <rFont val="Arial"/>
        <family val="2"/>
      </rPr>
      <t>AV35 MM</t>
    </r>
  </si>
  <si>
    <r>
      <t xml:space="preserve">BICYCLE TUBE 29 x 2.20/2.50 0.8 </t>
    </r>
    <r>
      <rPr>
        <b/>
        <sz val="11"/>
        <color indexed="8"/>
        <rFont val="Arial"/>
        <family val="2"/>
      </rPr>
      <t>AV35 MM</t>
    </r>
  </si>
  <si>
    <t>MAXXIS+KENDA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</si>
</sst>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.00;[Red]0.00"/>
  </numFmts>
  <fonts count="4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8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宋体"/>
      <charset val="134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36"/>
      <color indexed="8"/>
      <name val="Copperplate Gothic Bold"/>
      <family val="2"/>
    </font>
    <font>
      <b/>
      <u/>
      <sz val="16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sz val="12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6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11"/>
      <name val="Arial Narrow"/>
      <family val="2"/>
    </font>
    <font>
      <sz val="12"/>
      <color indexed="8"/>
      <name val="Arial Narrow"/>
      <family val="2"/>
    </font>
    <font>
      <sz val="12"/>
      <color rgb="FFFF0000"/>
      <name val="Arial Narrow"/>
      <family val="2"/>
    </font>
    <font>
      <sz val="11"/>
      <color indexed="8"/>
      <name val="Arial Narrow"/>
      <family val="2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4"/>
      <color indexed="10"/>
      <name val="Calibri"/>
      <family val="2"/>
    </font>
    <font>
      <b/>
      <sz val="14"/>
      <name val="Arial Narrow"/>
      <family val="2"/>
    </font>
    <font>
      <sz val="10"/>
      <name val="Arial Narrow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3" fillId="0" borderId="0"/>
    <xf numFmtId="0" fontId="15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5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0" fontId="7" fillId="0" borderId="4" xfId="0" applyFont="1" applyBorder="1" applyAlignment="1">
      <alignment horizontal="right" vertical="center"/>
    </xf>
    <xf numFmtId="1" fontId="6" fillId="0" borderId="4" xfId="0" applyNumberFormat="1" applyFont="1" applyBorder="1" applyAlignment="1">
      <alignment horizontal="center"/>
    </xf>
    <xf numFmtId="0" fontId="9" fillId="3" borderId="8" xfId="0" applyFont="1" applyFill="1" applyBorder="1" applyAlignment="1">
      <alignment vertical="center"/>
    </xf>
    <xf numFmtId="164" fontId="10" fillId="4" borderId="7" xfId="0" applyNumberFormat="1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4" fontId="10" fillId="3" borderId="10" xfId="0" applyNumberFormat="1" applyFont="1" applyFill="1" applyBorder="1" applyAlignment="1">
      <alignment horizontal="center" vertical="center" wrapText="1"/>
    </xf>
    <xf numFmtId="0" fontId="12" fillId="0" borderId="8" xfId="0" applyFont="1" applyBorder="1"/>
    <xf numFmtId="0" fontId="23" fillId="3" borderId="8" xfId="0" applyFont="1" applyFill="1" applyBorder="1" applyAlignment="1">
      <alignment horizontal="right" vertical="center"/>
    </xf>
    <xf numFmtId="1" fontId="24" fillId="3" borderId="8" xfId="0" applyNumberFormat="1" applyFont="1" applyFill="1" applyBorder="1" applyAlignment="1">
      <alignment horizontal="center" vertical="center"/>
    </xf>
    <xf numFmtId="1" fontId="25" fillId="3" borderId="8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/>
    </xf>
    <xf numFmtId="0" fontId="12" fillId="0" borderId="0" xfId="6" applyFont="1"/>
    <xf numFmtId="0" fontId="8" fillId="2" borderId="14" xfId="7" applyFont="1" applyFill="1" applyBorder="1" applyAlignment="1">
      <alignment horizontal="center" vertical="center"/>
    </xf>
    <xf numFmtId="0" fontId="8" fillId="2" borderId="14" xfId="7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8" fillId="2" borderId="8" xfId="7" applyFont="1" applyFill="1" applyBorder="1" applyAlignment="1">
      <alignment horizontal="center" vertical="center" wrapText="1"/>
    </xf>
    <xf numFmtId="0" fontId="12" fillId="0" borderId="0" xfId="6" applyFont="1" applyAlignment="1">
      <alignment vertical="center"/>
    </xf>
    <xf numFmtId="0" fontId="27" fillId="0" borderId="8" xfId="6" applyFont="1" applyBorder="1" applyAlignment="1">
      <alignment vertical="center" textRotation="90"/>
    </xf>
    <xf numFmtId="0" fontId="23" fillId="7" borderId="8" xfId="7" applyFont="1" applyFill="1" applyBorder="1" applyAlignment="1">
      <alignment horizontal="left" vertical="center"/>
    </xf>
    <xf numFmtId="0" fontId="28" fillId="7" borderId="8" xfId="7" applyFont="1" applyFill="1" applyBorder="1" applyAlignment="1">
      <alignment horizontal="left" vertical="center"/>
    </xf>
    <xf numFmtId="165" fontId="17" fillId="0" borderId="8" xfId="0" applyNumberFormat="1" applyFont="1" applyBorder="1" applyAlignment="1">
      <alignment horizontal="center" vertical="center" wrapText="1"/>
    </xf>
    <xf numFmtId="2" fontId="29" fillId="0" borderId="8" xfId="0" applyNumberFormat="1" applyFont="1" applyBorder="1" applyAlignment="1">
      <alignment horizontal="center" vertical="center"/>
    </xf>
    <xf numFmtId="10" fontId="17" fillId="0" borderId="8" xfId="0" applyNumberFormat="1" applyFont="1" applyBorder="1" applyAlignment="1">
      <alignment horizontal="center" vertical="center" wrapText="1"/>
    </xf>
    <xf numFmtId="10" fontId="20" fillId="0" borderId="9" xfId="0" applyNumberFormat="1" applyFont="1" applyBorder="1" applyAlignment="1">
      <alignment horizontal="center" vertical="center" wrapText="1"/>
    </xf>
    <xf numFmtId="0" fontId="30" fillId="0" borderId="8" xfId="6" applyFont="1" applyBorder="1" applyAlignment="1">
      <alignment horizontal="center" vertical="center"/>
    </xf>
    <xf numFmtId="0" fontId="21" fillId="0" borderId="8" xfId="8" applyFont="1" applyBorder="1" applyAlignment="1">
      <alignment vertical="center" wrapText="1"/>
    </xf>
    <xf numFmtId="0" fontId="21" fillId="0" borderId="8" xfId="8" applyFont="1" applyBorder="1" applyAlignment="1">
      <alignment horizontal="center" vertical="center" wrapText="1"/>
    </xf>
    <xf numFmtId="0" fontId="31" fillId="0" borderId="8" xfId="8" applyFont="1" applyBorder="1" applyAlignment="1">
      <alignment horizontal="center" vertical="center" wrapText="1"/>
    </xf>
    <xf numFmtId="2" fontId="29" fillId="0" borderId="8" xfId="0" applyNumberFormat="1" applyFont="1" applyBorder="1" applyAlignment="1" applyProtection="1">
      <alignment horizontal="center" vertical="center"/>
      <protection locked="0"/>
    </xf>
    <xf numFmtId="2" fontId="32" fillId="0" borderId="8" xfId="0" applyNumberFormat="1" applyFont="1" applyBorder="1" applyAlignment="1">
      <alignment horizontal="center" vertical="center" wrapText="1"/>
    </xf>
    <xf numFmtId="0" fontId="12" fillId="0" borderId="8" xfId="6" applyFont="1" applyBorder="1" applyAlignment="1">
      <alignment horizontal="center" vertical="center" wrapText="1"/>
    </xf>
    <xf numFmtId="0" fontId="22" fillId="0" borderId="8" xfId="6" applyFont="1" applyBorder="1" applyAlignment="1">
      <alignment horizontal="center" vertical="center" wrapText="1"/>
    </xf>
    <xf numFmtId="2" fontId="12" fillId="0" borderId="8" xfId="6" applyNumberFormat="1" applyFont="1" applyBorder="1" applyAlignment="1">
      <alignment horizontal="center" vertical="center" wrapText="1"/>
    </xf>
    <xf numFmtId="2" fontId="33" fillId="0" borderId="8" xfId="6" applyNumberFormat="1" applyFont="1" applyBorder="1" applyAlignment="1">
      <alignment horizontal="center" vertical="center" wrapText="1"/>
    </xf>
    <xf numFmtId="2" fontId="29" fillId="0" borderId="9" xfId="0" applyNumberFormat="1" applyFont="1" applyBorder="1" applyAlignment="1" applyProtection="1">
      <alignment horizontal="center" vertical="center"/>
      <protection locked="0"/>
    </xf>
    <xf numFmtId="0" fontId="23" fillId="8" borderId="8" xfId="7" applyFont="1" applyFill="1" applyBorder="1" applyAlignment="1">
      <alignment horizontal="left" vertical="center"/>
    </xf>
    <xf numFmtId="2" fontId="29" fillId="0" borderId="10" xfId="0" applyNumberFormat="1" applyFont="1" applyBorder="1" applyAlignment="1" applyProtection="1">
      <alignment horizontal="center" vertical="center"/>
      <protection locked="0"/>
    </xf>
    <xf numFmtId="9" fontId="31" fillId="0" borderId="8" xfId="8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right" vertical="center"/>
    </xf>
    <xf numFmtId="2" fontId="36" fillId="0" borderId="8" xfId="0" applyNumberFormat="1" applyFont="1" applyBorder="1" applyAlignment="1">
      <alignment horizontal="center" vertical="center"/>
    </xf>
    <xf numFmtId="3" fontId="19" fillId="0" borderId="11" xfId="9" applyNumberFormat="1" applyFont="1" applyBorder="1" applyAlignment="1" applyProtection="1">
      <alignment horizontal="center" vertical="center"/>
      <protection locked="0"/>
    </xf>
    <xf numFmtId="2" fontId="14" fillId="0" borderId="0" xfId="0" applyNumberFormat="1" applyFont="1" applyAlignment="1" applyProtection="1">
      <alignment horizontal="center" vertical="center"/>
      <protection locked="0"/>
    </xf>
    <xf numFmtId="0" fontId="23" fillId="7" borderId="0" xfId="7" applyFont="1" applyFill="1" applyAlignment="1">
      <alignment horizontal="left" vertical="center"/>
    </xf>
    <xf numFmtId="0" fontId="12" fillId="0" borderId="0" xfId="6" applyFont="1" applyAlignment="1">
      <alignment vertical="center" wrapText="1"/>
    </xf>
    <xf numFmtId="0" fontId="29" fillId="0" borderId="0" xfId="0" applyFont="1" applyAlignment="1" applyProtection="1">
      <alignment vertical="center"/>
      <protection locked="0"/>
    </xf>
    <xf numFmtId="165" fontId="17" fillId="0" borderId="0" xfId="0" applyNumberFormat="1" applyFont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/>
    </xf>
    <xf numFmtId="10" fontId="20" fillId="0" borderId="8" xfId="0" applyNumberFormat="1" applyFont="1" applyBorder="1" applyAlignment="1">
      <alignment horizontal="center" vertical="center" wrapText="1"/>
    </xf>
    <xf numFmtId="0" fontId="37" fillId="6" borderId="0" xfId="4" applyFont="1" applyFill="1" applyAlignment="1" applyProtection="1">
      <alignment vertical="center" wrapText="1"/>
      <protection locked="0"/>
    </xf>
    <xf numFmtId="0" fontId="14" fillId="6" borderId="0" xfId="4" applyFont="1" applyFill="1" applyAlignment="1" applyProtection="1">
      <alignment vertical="center" wrapText="1"/>
      <protection locked="0"/>
    </xf>
    <xf numFmtId="0" fontId="18" fillId="0" borderId="4" xfId="0" applyFont="1" applyBorder="1" applyAlignment="1" applyProtection="1">
      <alignment vertical="center" textRotation="90"/>
      <protection locked="0"/>
    </xf>
    <xf numFmtId="0" fontId="23" fillId="8" borderId="4" xfId="7" applyFont="1" applyFill="1" applyBorder="1" applyAlignment="1">
      <alignment horizontal="left" vertical="center"/>
    </xf>
    <xf numFmtId="0" fontId="21" fillId="0" borderId="4" xfId="8" applyFont="1" applyBorder="1" applyAlignment="1">
      <alignment horizontal="center" vertical="center" wrapText="1"/>
    </xf>
    <xf numFmtId="0" fontId="16" fillId="3" borderId="4" xfId="4" applyFont="1" applyFill="1" applyBorder="1" applyAlignment="1">
      <alignment horizontal="center" vertical="center"/>
    </xf>
    <xf numFmtId="9" fontId="16" fillId="3" borderId="4" xfId="5" applyFont="1" applyFill="1" applyBorder="1" applyAlignment="1" applyProtection="1">
      <alignment horizontal="center" vertical="center"/>
    </xf>
    <xf numFmtId="165" fontId="17" fillId="0" borderId="4" xfId="0" applyNumberFormat="1" applyFont="1" applyBorder="1" applyAlignment="1">
      <alignment horizontal="center" vertical="center" wrapText="1"/>
    </xf>
    <xf numFmtId="2" fontId="29" fillId="0" borderId="4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 wrapText="1"/>
    </xf>
    <xf numFmtId="0" fontId="20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38" fillId="0" borderId="4" xfId="8" applyFont="1" applyBorder="1" applyAlignment="1">
      <alignment vertical="center" wrapText="1"/>
    </xf>
    <xf numFmtId="2" fontId="40" fillId="0" borderId="4" xfId="0" applyNumberFormat="1" applyFont="1" applyBorder="1" applyAlignment="1">
      <alignment horizontal="center" vertical="center"/>
    </xf>
    <xf numFmtId="2" fontId="41" fillId="0" borderId="4" xfId="0" applyNumberFormat="1" applyFont="1" applyBorder="1" applyAlignment="1">
      <alignment horizontal="center" vertical="center"/>
    </xf>
    <xf numFmtId="0" fontId="23" fillId="9" borderId="4" xfId="7" applyFont="1" applyFill="1" applyBorder="1" applyAlignment="1">
      <alignment horizontal="left" vertical="center"/>
    </xf>
    <xf numFmtId="0" fontId="1" fillId="0" borderId="0" xfId="10"/>
    <xf numFmtId="0" fontId="33" fillId="0" borderId="0" xfId="6" applyFont="1" applyAlignment="1">
      <alignment horizontal="center" vertical="center" wrapText="1"/>
    </xf>
    <xf numFmtId="0" fontId="42" fillId="0" borderId="0" xfId="6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right" vertical="center"/>
    </xf>
    <xf numFmtId="0" fontId="23" fillId="0" borderId="6" xfId="0" applyFont="1" applyBorder="1" applyAlignment="1">
      <alignment horizontal="right" vertical="center"/>
    </xf>
    <xf numFmtId="0" fontId="23" fillId="0" borderId="9" xfId="0" applyFont="1" applyBorder="1" applyAlignment="1">
      <alignment horizontal="right" vertical="center"/>
    </xf>
    <xf numFmtId="0" fontId="23" fillId="0" borderId="15" xfId="0" applyFont="1" applyBorder="1" applyAlignment="1">
      <alignment horizontal="right" vertical="center"/>
    </xf>
    <xf numFmtId="0" fontId="23" fillId="0" borderId="12" xfId="0" applyFont="1" applyBorder="1" applyAlignment="1">
      <alignment horizontal="right" vertical="center"/>
    </xf>
    <xf numFmtId="0" fontId="23" fillId="0" borderId="13" xfId="0" applyFont="1" applyBorder="1" applyAlignment="1">
      <alignment horizontal="right" vertical="center"/>
    </xf>
  </cellXfs>
  <cellStyles count="11">
    <cellStyle name="Normal" xfId="0" builtinId="0"/>
    <cellStyle name="Normal 18 2 2 3 2 2" xfId="1"/>
    <cellStyle name="Normal 18 2 2 3 2 2 2" xfId="8"/>
    <cellStyle name="Normal 18 2 2 5" xfId="9"/>
    <cellStyle name="Normal 2 3" xfId="3"/>
    <cellStyle name="Normal 20 2 2 5 2" xfId="2"/>
    <cellStyle name="Normal 20 2 2 8" xfId="7"/>
    <cellStyle name="Normal 21 3" xfId="10"/>
    <cellStyle name="Normal 22" xfId="6"/>
    <cellStyle name="Percent" xfId="5" builtinId="5"/>
    <cellStyle name="常规 3" xfId="4"/>
  </cellStyles>
  <dxfs count="6"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5549"/>
  <sheetViews>
    <sheetView zoomScaleNormal="100" workbookViewId="0">
      <selection activeCell="E7" sqref="E7"/>
    </sheetView>
  </sheetViews>
  <sheetFormatPr defaultRowHeight="13" zeroHeight="1"/>
  <cols>
    <col min="2" max="2" width="22.08984375" customWidth="1"/>
    <col min="3" max="3" width="37.453125" bestFit="1" customWidth="1"/>
    <col min="4" max="4" width="23.08984375" customWidth="1"/>
    <col min="5" max="6" width="12.453125" bestFit="1" customWidth="1"/>
  </cols>
  <sheetData>
    <row r="1" spans="2:4" ht="13.75" thickBot="1"/>
    <row r="2" spans="2:4" ht="23">
      <c r="B2" s="76" t="s">
        <v>0</v>
      </c>
      <c r="C2" s="77"/>
      <c r="D2" s="78"/>
    </row>
    <row r="3" spans="2:4" ht="22.75">
      <c r="B3" s="1">
        <v>1</v>
      </c>
      <c r="C3" s="2" t="s">
        <v>52</v>
      </c>
      <c r="D3" s="3">
        <f>'MAXXIS+KENDA'!$K$2</f>
        <v>15270</v>
      </c>
    </row>
    <row r="4" spans="2:4" ht="22.75">
      <c r="B4" s="4"/>
      <c r="C4" s="5" t="s">
        <v>1</v>
      </c>
      <c r="D4" s="6">
        <f>SUM(D3)</f>
        <v>15270</v>
      </c>
    </row>
    <row r="5" spans="2:4"/>
    <row r="6" spans="2:4"/>
    <row r="7" spans="2:4"/>
    <row r="8" spans="2:4"/>
    <row r="9" spans="2:4"/>
    <row r="10" spans="2:4"/>
    <row r="11" spans="2:4"/>
    <row r="12" spans="2:4"/>
    <row r="13" spans="2:4"/>
    <row r="14" spans="2:4"/>
    <row r="15" spans="2:4"/>
    <row r="16" spans="2:4"/>
    <row r="17"/>
    <row r="18"/>
    <row r="19"/>
    <row r="20"/>
    <row r="21"/>
    <row r="22"/>
    <row r="23"/>
    <row r="24"/>
    <row r="25" ht="5.4" customHeight="1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Zeros="0" tabSelected="1" view="pageBreakPreview" zoomScale="98" zoomScaleNormal="98" zoomScaleSheetLayoutView="98" workbookViewId="0">
      <pane xSplit="7" ySplit="2" topLeftCell="H8" activePane="bottomRight" state="frozen"/>
      <selection activeCell="A27" sqref="A27:F27"/>
      <selection pane="topRight" activeCell="A27" sqref="A27:F27"/>
      <selection pane="bottomLeft" activeCell="A27" sqref="A27:F27"/>
      <selection pane="bottomRight" activeCell="E1" sqref="E1"/>
    </sheetView>
  </sheetViews>
  <sheetFormatPr defaultColWidth="9.08984375" defaultRowHeight="16"/>
  <cols>
    <col min="1" max="1" width="8.54296875" style="25" customWidth="1"/>
    <col min="2" max="2" width="61.54296875" style="52" bestFit="1" customWidth="1"/>
    <col min="3" max="3" width="14.31640625" style="52" customWidth="1"/>
    <col min="4" max="4" width="13.453125" style="74" customWidth="1"/>
    <col min="5" max="5" width="13.453125" style="75" customWidth="1"/>
    <col min="6" max="6" width="13.453125" style="74" customWidth="1"/>
    <col min="7" max="7" width="9.54296875" style="74" customWidth="1"/>
    <col min="8" max="8" width="13.54296875" style="68" customWidth="1"/>
    <col min="9" max="9" width="15.54296875" style="68" customWidth="1"/>
    <col min="10" max="10" width="5.54296875" style="68" customWidth="1"/>
    <col min="11" max="11" width="12.08984375" style="17" hidden="1" customWidth="1"/>
    <col min="12" max="16384" width="9.08984375" style="17"/>
  </cols>
  <sheetData>
    <row r="1" spans="1:11" ht="51" customHeight="1">
      <c r="A1" s="12"/>
      <c r="B1" s="13" t="s">
        <v>11</v>
      </c>
      <c r="C1" s="13"/>
      <c r="D1" s="14"/>
      <c r="E1" s="15"/>
      <c r="F1" s="14"/>
      <c r="G1" s="7"/>
      <c r="H1" s="8" t="s">
        <v>12</v>
      </c>
      <c r="I1" s="9" t="s">
        <v>13</v>
      </c>
      <c r="J1" s="16"/>
    </row>
    <row r="2" spans="1:11" ht="58.5" customHeight="1">
      <c r="A2" s="18" t="s">
        <v>14</v>
      </c>
      <c r="B2" s="19" t="s">
        <v>2</v>
      </c>
      <c r="C2" s="19"/>
      <c r="D2" s="20" t="s">
        <v>3</v>
      </c>
      <c r="E2" s="21" t="s">
        <v>15</v>
      </c>
      <c r="F2" s="22" t="s">
        <v>16</v>
      </c>
      <c r="G2" s="23" t="s">
        <v>4</v>
      </c>
      <c r="H2" s="21" t="s">
        <v>5</v>
      </c>
      <c r="I2" s="24" t="s">
        <v>6</v>
      </c>
      <c r="J2" s="10" t="s">
        <v>7</v>
      </c>
      <c r="K2" s="25">
        <f>SUM(K8:K28)</f>
        <v>15270</v>
      </c>
    </row>
    <row r="3" spans="1:11" s="25" customFormat="1" ht="21" hidden="1" customHeight="1">
      <c r="A3" s="26"/>
      <c r="B3" s="27" t="s">
        <v>17</v>
      </c>
      <c r="C3" s="27"/>
      <c r="D3" s="27"/>
      <c r="E3" s="28"/>
      <c r="F3" s="29"/>
      <c r="G3" s="30"/>
      <c r="H3" s="31"/>
      <c r="I3" s="32"/>
      <c r="J3" s="31"/>
    </row>
    <row r="4" spans="1:11" s="25" customFormat="1" ht="23.4" hidden="1" customHeight="1">
      <c r="A4" s="33">
        <v>1</v>
      </c>
      <c r="B4" s="34" t="s">
        <v>18</v>
      </c>
      <c r="C4" s="34"/>
      <c r="D4" s="35" t="s">
        <v>19</v>
      </c>
      <c r="E4" s="36"/>
      <c r="F4" s="29">
        <v>2750</v>
      </c>
      <c r="G4" s="30">
        <v>4225</v>
      </c>
      <c r="H4" s="37"/>
      <c r="I4" s="11" t="s">
        <v>20</v>
      </c>
      <c r="J4" s="38" t="s">
        <v>9</v>
      </c>
      <c r="K4" s="25">
        <f t="shared" ref="K4:K21" si="0">F4*H4</f>
        <v>0</v>
      </c>
    </row>
    <row r="5" spans="1:11" s="25" customFormat="1" ht="15.65" hidden="1" customHeight="1">
      <c r="A5" s="33">
        <v>2</v>
      </c>
      <c r="B5" s="34" t="s">
        <v>21</v>
      </c>
      <c r="C5" s="34"/>
      <c r="D5" s="35" t="s">
        <v>22</v>
      </c>
      <c r="E5" s="36"/>
      <c r="F5" s="29">
        <v>3250</v>
      </c>
      <c r="G5" s="30">
        <v>4950</v>
      </c>
      <c r="H5" s="37"/>
      <c r="I5" s="11" t="s">
        <v>20</v>
      </c>
      <c r="J5" s="38" t="s">
        <v>9</v>
      </c>
      <c r="K5" s="25">
        <f t="shared" si="0"/>
        <v>0</v>
      </c>
    </row>
    <row r="6" spans="1:11" s="25" customFormat="1" ht="9.65" hidden="1" customHeight="1">
      <c r="A6" s="33">
        <v>3</v>
      </c>
      <c r="B6" s="34" t="s">
        <v>23</v>
      </c>
      <c r="C6" s="34"/>
      <c r="D6" s="35" t="s">
        <v>24</v>
      </c>
      <c r="E6" s="36"/>
      <c r="F6" s="29">
        <v>3250</v>
      </c>
      <c r="G6" s="30">
        <v>4950</v>
      </c>
      <c r="H6" s="37"/>
      <c r="I6" s="11" t="s">
        <v>20</v>
      </c>
      <c r="J6" s="38" t="s">
        <v>9</v>
      </c>
      <c r="K6" s="25">
        <f t="shared" si="0"/>
        <v>0</v>
      </c>
    </row>
    <row r="7" spans="1:11" s="25" customFormat="1" ht="17.399999999999999" hidden="1" customHeight="1">
      <c r="A7" s="33">
        <v>4</v>
      </c>
      <c r="B7" s="34" t="s">
        <v>25</v>
      </c>
      <c r="C7" s="34"/>
      <c r="D7" s="35" t="s">
        <v>26</v>
      </c>
      <c r="E7" s="36"/>
      <c r="F7" s="29">
        <v>1650</v>
      </c>
      <c r="G7" s="30">
        <v>2550</v>
      </c>
      <c r="H7" s="37"/>
      <c r="I7" s="11" t="s">
        <v>20</v>
      </c>
      <c r="J7" s="38" t="s">
        <v>9</v>
      </c>
      <c r="K7" s="25">
        <f t="shared" si="0"/>
        <v>0</v>
      </c>
    </row>
    <row r="8" spans="1:11" s="25" customFormat="1" ht="26.25" customHeight="1">
      <c r="A8" s="26"/>
      <c r="B8" s="27" t="s">
        <v>27</v>
      </c>
      <c r="C8" s="27"/>
      <c r="D8" s="39"/>
      <c r="E8" s="40"/>
      <c r="F8" s="41"/>
      <c r="G8" s="42"/>
      <c r="H8" s="37"/>
      <c r="I8" s="43"/>
      <c r="J8" s="38"/>
      <c r="K8" s="25">
        <f t="shared" si="0"/>
        <v>0</v>
      </c>
    </row>
    <row r="9" spans="1:11" s="25" customFormat="1" ht="23.25" customHeight="1">
      <c r="A9" s="26"/>
      <c r="B9" s="44" t="s">
        <v>28</v>
      </c>
      <c r="C9" s="44"/>
      <c r="D9" s="39"/>
      <c r="E9" s="40"/>
      <c r="F9" s="41"/>
      <c r="G9" s="42"/>
      <c r="H9" s="37"/>
      <c r="I9" s="45"/>
      <c r="J9" s="38"/>
      <c r="K9" s="25">
        <f t="shared" si="0"/>
        <v>0</v>
      </c>
    </row>
    <row r="10" spans="1:11" s="25" customFormat="1" ht="26.25" customHeight="1">
      <c r="A10" s="33">
        <v>1</v>
      </c>
      <c r="B10" s="34" t="s">
        <v>29</v>
      </c>
      <c r="C10" s="34"/>
      <c r="D10" s="35" t="s">
        <v>30</v>
      </c>
      <c r="E10" s="46">
        <v>0.05</v>
      </c>
      <c r="F10" s="29">
        <v>895</v>
      </c>
      <c r="G10" s="30">
        <v>1995</v>
      </c>
      <c r="H10" s="37"/>
      <c r="I10" s="11" t="s">
        <v>8</v>
      </c>
      <c r="J10" s="38" t="s">
        <v>9</v>
      </c>
      <c r="K10" s="25">
        <f t="shared" si="0"/>
        <v>0</v>
      </c>
    </row>
    <row r="11" spans="1:11" s="25" customFormat="1" ht="26.25" customHeight="1">
      <c r="A11" s="33">
        <v>2</v>
      </c>
      <c r="B11" s="34" t="s">
        <v>31</v>
      </c>
      <c r="C11" s="34"/>
      <c r="D11" s="35" t="s">
        <v>32</v>
      </c>
      <c r="E11" s="46">
        <v>0.05</v>
      </c>
      <c r="F11" s="29">
        <v>895</v>
      </c>
      <c r="G11" s="30">
        <v>1995</v>
      </c>
      <c r="H11" s="37"/>
      <c r="I11" s="11" t="s">
        <v>8</v>
      </c>
      <c r="J11" s="38" t="s">
        <v>9</v>
      </c>
      <c r="K11" s="25">
        <f t="shared" si="0"/>
        <v>0</v>
      </c>
    </row>
    <row r="12" spans="1:11" s="25" customFormat="1" ht="26.25" customHeight="1">
      <c r="A12" s="26"/>
      <c r="B12" s="44" t="s">
        <v>33</v>
      </c>
      <c r="C12" s="44"/>
      <c r="D12" s="39"/>
      <c r="E12" s="40"/>
      <c r="F12" s="41"/>
      <c r="G12" s="42"/>
      <c r="H12" s="37"/>
      <c r="I12" s="45"/>
      <c r="J12" s="38"/>
      <c r="K12" s="25">
        <f t="shared" si="0"/>
        <v>0</v>
      </c>
    </row>
    <row r="13" spans="1:11" s="25" customFormat="1" ht="24" customHeight="1">
      <c r="A13" s="33">
        <v>3</v>
      </c>
      <c r="B13" s="34" t="s">
        <v>35</v>
      </c>
      <c r="C13" s="34"/>
      <c r="D13" s="35" t="s">
        <v>34</v>
      </c>
      <c r="E13" s="46">
        <v>0.05</v>
      </c>
      <c r="F13" s="29">
        <v>1495</v>
      </c>
      <c r="G13" s="30">
        <v>2999</v>
      </c>
      <c r="H13" s="37"/>
      <c r="I13" s="11" t="s">
        <v>8</v>
      </c>
      <c r="J13" s="38" t="s">
        <v>9</v>
      </c>
      <c r="K13" s="25">
        <f t="shared" si="0"/>
        <v>0</v>
      </c>
    </row>
    <row r="14" spans="1:11" s="25" customFormat="1" ht="24" customHeight="1">
      <c r="A14" s="33">
        <v>4</v>
      </c>
      <c r="B14" s="34" t="s">
        <v>36</v>
      </c>
      <c r="C14" s="34"/>
      <c r="D14" s="35" t="s">
        <v>37</v>
      </c>
      <c r="E14" s="46">
        <v>0.05</v>
      </c>
      <c r="F14" s="29">
        <v>1300</v>
      </c>
      <c r="G14" s="30">
        <v>2975</v>
      </c>
      <c r="H14" s="37"/>
      <c r="I14" s="11" t="s">
        <v>8</v>
      </c>
      <c r="J14" s="38" t="s">
        <v>9</v>
      </c>
      <c r="K14" s="25">
        <f t="shared" si="0"/>
        <v>0</v>
      </c>
    </row>
    <row r="15" spans="1:11" s="25" customFormat="1" ht="24" customHeight="1">
      <c r="A15" s="33">
        <v>5</v>
      </c>
      <c r="B15" s="34" t="s">
        <v>38</v>
      </c>
      <c r="C15" s="34"/>
      <c r="D15" s="35" t="s">
        <v>26</v>
      </c>
      <c r="E15" s="46">
        <v>0.05</v>
      </c>
      <c r="F15" s="29">
        <v>1145</v>
      </c>
      <c r="G15" s="30">
        <v>2650</v>
      </c>
      <c r="H15" s="37"/>
      <c r="I15" s="11" t="s">
        <v>8</v>
      </c>
      <c r="J15" s="38" t="s">
        <v>9</v>
      </c>
      <c r="K15" s="25">
        <f t="shared" si="0"/>
        <v>0</v>
      </c>
    </row>
    <row r="16" spans="1:11" ht="24" customHeight="1">
      <c r="A16" s="33"/>
      <c r="B16" s="27" t="s">
        <v>39</v>
      </c>
      <c r="C16" s="27"/>
      <c r="D16" s="35"/>
      <c r="E16" s="36"/>
      <c r="F16" s="29"/>
      <c r="G16" s="37"/>
      <c r="H16" s="37"/>
      <c r="I16" s="37"/>
      <c r="J16" s="38"/>
      <c r="K16" s="25">
        <f t="shared" si="0"/>
        <v>0</v>
      </c>
    </row>
    <row r="17" spans="1:11" ht="24" customHeight="1">
      <c r="A17" s="33">
        <v>1</v>
      </c>
      <c r="B17" s="34" t="s">
        <v>40</v>
      </c>
      <c r="C17" s="34"/>
      <c r="D17" s="35" t="s">
        <v>41</v>
      </c>
      <c r="E17" s="46">
        <v>0.05</v>
      </c>
      <c r="F17" s="29">
        <v>1045</v>
      </c>
      <c r="G17" s="37">
        <v>1695</v>
      </c>
      <c r="H17" s="37"/>
      <c r="I17" s="11" t="s">
        <v>8</v>
      </c>
      <c r="J17" s="38" t="s">
        <v>9</v>
      </c>
      <c r="K17" s="25">
        <f t="shared" si="0"/>
        <v>0</v>
      </c>
    </row>
    <row r="18" spans="1:11" ht="24" customHeight="1">
      <c r="A18" s="33">
        <v>2</v>
      </c>
      <c r="B18" s="34" t="s">
        <v>40</v>
      </c>
      <c r="C18" s="34"/>
      <c r="D18" s="35" t="s">
        <v>42</v>
      </c>
      <c r="E18" s="46">
        <v>0.05</v>
      </c>
      <c r="F18" s="29">
        <v>1095</v>
      </c>
      <c r="G18" s="37">
        <v>1745</v>
      </c>
      <c r="H18" s="37"/>
      <c r="I18" s="11" t="s">
        <v>8</v>
      </c>
      <c r="J18" s="38" t="s">
        <v>9</v>
      </c>
      <c r="K18" s="25">
        <f t="shared" si="0"/>
        <v>0</v>
      </c>
    </row>
    <row r="19" spans="1:11" ht="24" customHeight="1">
      <c r="A19" s="33">
        <v>3</v>
      </c>
      <c r="B19" s="34" t="s">
        <v>43</v>
      </c>
      <c r="C19" s="34"/>
      <c r="D19" s="35" t="s">
        <v>44</v>
      </c>
      <c r="E19" s="46">
        <v>0.05</v>
      </c>
      <c r="F19" s="29">
        <v>1045</v>
      </c>
      <c r="G19" s="30">
        <v>1595</v>
      </c>
      <c r="H19" s="37">
        <v>6</v>
      </c>
      <c r="I19" s="11" t="s">
        <v>8</v>
      </c>
      <c r="J19" s="38" t="s">
        <v>9</v>
      </c>
      <c r="K19" s="25">
        <f t="shared" si="0"/>
        <v>6270</v>
      </c>
    </row>
    <row r="20" spans="1:11" ht="24" customHeight="1">
      <c r="A20" s="33">
        <v>4</v>
      </c>
      <c r="B20" s="34" t="s">
        <v>45</v>
      </c>
      <c r="C20" s="34"/>
      <c r="D20" s="35" t="s">
        <v>42</v>
      </c>
      <c r="E20" s="46">
        <v>0.05</v>
      </c>
      <c r="F20" s="29">
        <v>1095</v>
      </c>
      <c r="G20" s="30">
        <v>1975</v>
      </c>
      <c r="H20" s="37"/>
      <c r="I20" s="11" t="s">
        <v>8</v>
      </c>
      <c r="J20" s="38" t="s">
        <v>9</v>
      </c>
      <c r="K20" s="25">
        <f t="shared" si="0"/>
        <v>0</v>
      </c>
    </row>
    <row r="21" spans="1:11" ht="21">
      <c r="A21" s="79" t="s">
        <v>10</v>
      </c>
      <c r="B21" s="80"/>
      <c r="C21" s="80"/>
      <c r="D21" s="80"/>
      <c r="E21" s="80"/>
      <c r="F21" s="81"/>
      <c r="G21" s="47"/>
      <c r="H21" s="37"/>
      <c r="I21" s="49"/>
      <c r="J21" s="12"/>
      <c r="K21" s="25">
        <f t="shared" si="0"/>
        <v>0</v>
      </c>
    </row>
    <row r="22" spans="1:11" s="58" customFormat="1" ht="28.5" customHeight="1">
      <c r="A22" s="50"/>
      <c r="B22" s="51" t="s">
        <v>46</v>
      </c>
      <c r="C22" s="52"/>
      <c r="D22" s="53"/>
      <c r="E22" s="53"/>
      <c r="F22" s="54"/>
      <c r="G22" s="55"/>
      <c r="H22" s="37"/>
      <c r="I22" s="56"/>
      <c r="J22" s="31"/>
      <c r="K22" s="57"/>
    </row>
    <row r="23" spans="1:11" s="68" customFormat="1" ht="28.5" customHeight="1">
      <c r="A23" s="59"/>
      <c r="B23" s="60" t="s">
        <v>33</v>
      </c>
      <c r="C23" s="61"/>
      <c r="D23" s="62"/>
      <c r="E23" s="63"/>
      <c r="F23" s="64"/>
      <c r="G23" s="65"/>
      <c r="H23" s="37"/>
      <c r="I23" s="66"/>
      <c r="J23" s="38"/>
      <c r="K23" s="67">
        <f t="shared" ref="K23:K28" si="1">F23*H23</f>
        <v>0</v>
      </c>
    </row>
    <row r="24" spans="1:11" s="68" customFormat="1" ht="28.5" customHeight="1">
      <c r="A24" s="33">
        <v>1</v>
      </c>
      <c r="B24" s="69" t="s">
        <v>47</v>
      </c>
      <c r="C24" s="61" t="s">
        <v>48</v>
      </c>
      <c r="D24" s="62">
        <v>40132000</v>
      </c>
      <c r="E24" s="63">
        <v>0.05</v>
      </c>
      <c r="F24" s="70">
        <v>250</v>
      </c>
      <c r="G24" s="71">
        <v>495</v>
      </c>
      <c r="H24" s="37">
        <v>10</v>
      </c>
      <c r="I24" s="11" t="s">
        <v>8</v>
      </c>
      <c r="J24" s="38" t="s">
        <v>9</v>
      </c>
      <c r="K24" s="67">
        <f t="shared" si="1"/>
        <v>2500</v>
      </c>
    </row>
    <row r="25" spans="1:11" s="68" customFormat="1" ht="28.5" customHeight="1">
      <c r="A25" s="59"/>
      <c r="B25" s="72" t="s">
        <v>49</v>
      </c>
      <c r="C25" s="61"/>
      <c r="D25" s="62"/>
      <c r="E25" s="63"/>
      <c r="F25" s="64"/>
      <c r="G25" s="65"/>
      <c r="H25" s="37"/>
      <c r="I25" s="66"/>
      <c r="J25" s="38"/>
      <c r="K25" s="67">
        <f t="shared" si="1"/>
        <v>0</v>
      </c>
    </row>
    <row r="26" spans="1:11" s="68" customFormat="1" ht="28.5" customHeight="1">
      <c r="A26" s="33">
        <v>2</v>
      </c>
      <c r="B26" s="69" t="s">
        <v>50</v>
      </c>
      <c r="C26" s="61" t="s">
        <v>48</v>
      </c>
      <c r="D26" s="62">
        <v>40132000</v>
      </c>
      <c r="E26" s="63">
        <v>0.05</v>
      </c>
      <c r="F26" s="70">
        <v>325</v>
      </c>
      <c r="G26" s="71">
        <v>665</v>
      </c>
      <c r="H26" s="37">
        <v>10</v>
      </c>
      <c r="I26" s="11" t="s">
        <v>8</v>
      </c>
      <c r="J26" s="38" t="s">
        <v>9</v>
      </c>
      <c r="K26" s="67">
        <f t="shared" si="1"/>
        <v>3250</v>
      </c>
    </row>
    <row r="27" spans="1:11" s="68" customFormat="1" ht="28.5" customHeight="1">
      <c r="A27" s="33">
        <v>3</v>
      </c>
      <c r="B27" s="69" t="s">
        <v>51</v>
      </c>
      <c r="C27" s="61" t="s">
        <v>48</v>
      </c>
      <c r="D27" s="62">
        <v>40132000</v>
      </c>
      <c r="E27" s="63">
        <v>0.05</v>
      </c>
      <c r="F27" s="70">
        <v>325</v>
      </c>
      <c r="G27" s="71">
        <v>665</v>
      </c>
      <c r="H27" s="37">
        <v>10</v>
      </c>
      <c r="I27" s="11" t="s">
        <v>8</v>
      </c>
      <c r="J27" s="38" t="s">
        <v>9</v>
      </c>
      <c r="K27" s="67">
        <f t="shared" si="1"/>
        <v>3250</v>
      </c>
    </row>
    <row r="28" spans="1:11" ht="21">
      <c r="A28" s="82" t="s">
        <v>10</v>
      </c>
      <c r="B28" s="83"/>
      <c r="C28" s="83"/>
      <c r="D28" s="83"/>
      <c r="E28" s="83"/>
      <c r="F28" s="84"/>
      <c r="G28" s="47"/>
      <c r="H28" s="48"/>
      <c r="I28" s="49"/>
      <c r="J28" s="12"/>
      <c r="K28" s="25">
        <f t="shared" si="1"/>
        <v>0</v>
      </c>
    </row>
    <row r="48" spans="3:3">
      <c r="C48" s="73"/>
    </row>
    <row r="49" spans="3:3">
      <c r="C49" s="73"/>
    </row>
    <row r="50" spans="3:3">
      <c r="C50" s="73"/>
    </row>
    <row r="51" spans="3:3">
      <c r="C51" s="73"/>
    </row>
  </sheetData>
  <mergeCells count="2">
    <mergeCell ref="A21:F21"/>
    <mergeCell ref="A28:F28"/>
  </mergeCells>
  <conditionalFormatting sqref="I4:I7 I10:I11 I13:I15">
    <cfRule type="containsText" dxfId="5" priority="7" stopIfTrue="1" operator="containsText" text="AVAILABLE.">
      <formula>NOT(ISERROR(SEARCH("AVAILABLE.",I4)))</formula>
    </cfRule>
    <cfRule type="containsText" dxfId="4" priority="8" stopIfTrue="1" operator="containsText" text="NOT AVAILABLE">
      <formula>NOT(ISERROR(SEARCH("NOT AVAILABLE",I4)))</formula>
    </cfRule>
  </conditionalFormatting>
  <conditionalFormatting sqref="I17:I20">
    <cfRule type="containsText" dxfId="3" priority="3" stopIfTrue="1" operator="containsText" text="AVAILABLE.">
      <formula>NOT(ISERROR(SEARCH("AVAILABLE.",I17)))</formula>
    </cfRule>
    <cfRule type="containsText" dxfId="2" priority="4" stopIfTrue="1" operator="containsText" text="NOT AVAILABLE">
      <formula>NOT(ISERROR(SEARCH("NOT AVAILABLE",I17)))</formula>
    </cfRule>
  </conditionalFormatting>
  <conditionalFormatting sqref="I24 I26:I27">
    <cfRule type="containsText" dxfId="1" priority="1" stopIfTrue="1" operator="containsText" text="AVAILABLE.">
      <formula>NOT(ISERROR(SEARCH("AVAILABLE.",I24)))</formula>
    </cfRule>
    <cfRule type="containsText" dxfId="0" priority="2" stopIfTrue="1" operator="containsText" text="NOT AVAILABLE">
      <formula>NOT(ISERROR(SEARCH("NOT AVAILABLE",I24)))</formula>
    </cfRule>
  </conditionalFormatting>
  <pageMargins left="0" right="0" top="0" bottom="0" header="0.31496062992125984" footer="0.31496062992125984"/>
  <pageSetup paperSize="9" scale="61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 VALUE</vt:lpstr>
      <vt:lpstr>MAXXIS+KENDA</vt:lpstr>
      <vt:lpstr>'MAXXIS+KENDA'!Print_Area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admin</cp:lastModifiedBy>
  <dcterms:created xsi:type="dcterms:W3CDTF">2025-10-27T07:46:27Z</dcterms:created>
  <dcterms:modified xsi:type="dcterms:W3CDTF">2026-06-09T08:19:03Z</dcterms:modified>
</cp:coreProperties>
</file>