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530" tabRatio="500"/>
  </bookViews>
  <sheets>
    <sheet name="Sheet1" sheetId="3" r:id="rId1"/>
  </sheets>
  <definedNames>
    <definedName name="_xlnm._FilterDatabase" localSheetId="0" hidden="1">Sheet1!$A$8:$G$245</definedName>
  </definedName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0" i="3" l="1"/>
  <c r="F21" i="3" s="1"/>
  <c r="F14" i="3"/>
  <c r="F15" i="3"/>
  <c r="F16" i="3" s="1"/>
  <c r="F246" i="3"/>
  <c r="F10" i="3" l="1"/>
  <c r="F11" i="3" s="1"/>
  <c r="F12" i="3" s="1"/>
  <c r="F13" i="3" s="1"/>
  <c r="F17" i="3" l="1"/>
  <c r="F18" i="3" s="1"/>
  <c r="F19" i="3" s="1"/>
  <c r="F22" i="3" s="1"/>
  <c r="F23" i="3" s="1"/>
  <c r="F24" i="3" s="1"/>
  <c r="F25" i="3" s="1"/>
  <c r="F26" i="3" s="1"/>
  <c r="F27" i="3" l="1"/>
  <c r="F28" i="3" s="1"/>
  <c r="F29" i="3" s="1"/>
  <c r="F30" i="3" s="1"/>
  <c r="F31" i="3" l="1"/>
  <c r="F32" i="3" s="1"/>
  <c r="F33" i="3" s="1"/>
  <c r="F34" i="3" l="1"/>
  <c r="F35" i="3" s="1"/>
  <c r="F36" i="3" s="1"/>
  <c r="F37" i="3" s="1"/>
  <c r="F38" i="3" l="1"/>
  <c r="F39" i="3" s="1"/>
  <c r="F40" i="3" s="1"/>
  <c r="F41" i="3" l="1"/>
  <c r="F42" i="3" s="1"/>
  <c r="F43" i="3" l="1"/>
  <c r="F44" i="3" s="1"/>
  <c r="F45" i="3" s="1"/>
  <c r="F46" i="3" s="1"/>
  <c r="F47" i="3" s="1"/>
  <c r="F48" i="3" s="1"/>
  <c r="F49" i="3" s="1"/>
  <c r="F50" i="3" l="1"/>
  <c r="F51" i="3" s="1"/>
  <c r="F52" i="3" l="1"/>
  <c r="F53" i="3" s="1"/>
  <c r="F54" i="3" l="1"/>
  <c r="F55" i="3" s="1"/>
  <c r="F56" i="3" s="1"/>
  <c r="F57" i="3" l="1"/>
  <c r="F58" i="3" s="1"/>
  <c r="F59" i="3" s="1"/>
  <c r="F60" i="3" s="1"/>
  <c r="F61" i="3" s="1"/>
  <c r="F62" i="3" s="1"/>
  <c r="F63" i="3" l="1"/>
  <c r="F64" i="3" s="1"/>
  <c r="F65" i="3" s="1"/>
  <c r="F66" i="3" s="1"/>
  <c r="F67" i="3" s="1"/>
  <c r="F68" i="3" s="1"/>
  <c r="F69" i="3" s="1"/>
  <c r="F70" i="3" s="1"/>
  <c r="F71" i="3" s="1"/>
  <c r="F72" i="3" l="1"/>
  <c r="F73" i="3" s="1"/>
  <c r="F74" i="3" s="1"/>
  <c r="F75" i="3" s="1"/>
  <c r="F76" i="3" s="1"/>
  <c r="F77" i="3" s="1"/>
  <c r="F78" i="3" s="1"/>
  <c r="F79" i="3" s="1"/>
  <c r="F80" i="3" s="1"/>
  <c r="F81" i="3" s="1"/>
  <c r="F82" i="3" s="1"/>
  <c r="F83" i="3" s="1"/>
  <c r="F84" i="3" s="1"/>
  <c r="F85" i="3" s="1"/>
  <c r="F86" i="3" s="1"/>
  <c r="F87" i="3" s="1"/>
  <c r="F88" i="3" l="1"/>
  <c r="F89" i="3" s="1"/>
  <c r="F90" i="3" s="1"/>
  <c r="F91" i="3" s="1"/>
  <c r="F92" i="3" l="1"/>
  <c r="F93" i="3" s="1"/>
  <c r="F94" i="3" l="1"/>
  <c r="F95" i="3" s="1"/>
  <c r="F96" i="3" s="1"/>
  <c r="F97" i="3" s="1"/>
  <c r="F98" i="3" s="1"/>
  <c r="F99" i="3" s="1"/>
  <c r="F100" i="3" s="1"/>
  <c r="F101" i="3" s="1"/>
  <c r="F102" i="3" s="1"/>
  <c r="F103" i="3" s="1"/>
  <c r="F104" i="3" s="1"/>
  <c r="F105" i="3" s="1"/>
  <c r="F106" i="3" s="1"/>
  <c r="F107" i="3" s="1"/>
  <c r="F108" i="3" s="1"/>
  <c r="F109" i="3" s="1"/>
  <c r="F110" i="3" s="1"/>
  <c r="F111" i="3" s="1"/>
  <c r="F112" i="3" l="1"/>
  <c r="F113" i="3" s="1"/>
  <c r="F114" i="3" s="1"/>
  <c r="F115" i="3" s="1"/>
  <c r="F116" i="3" s="1"/>
  <c r="F117" i="3" s="1"/>
  <c r="F118" i="3" s="1"/>
  <c r="F119" i="3" s="1"/>
  <c r="F120" i="3" s="1"/>
  <c r="F121" i="3" s="1"/>
  <c r="F122" i="3" s="1"/>
  <c r="F123" i="3" s="1"/>
  <c r="F124" i="3" s="1"/>
  <c r="F125" i="3" s="1"/>
  <c r="F126" i="3" s="1"/>
  <c r="F127" i="3" s="1"/>
  <c r="F128" i="3" s="1"/>
  <c r="F129" i="3" s="1"/>
  <c r="F130" i="3" s="1"/>
  <c r="F131" i="3" s="1"/>
  <c r="F132" i="3" s="1"/>
  <c r="F133" i="3" s="1"/>
  <c r="F134" i="3" s="1"/>
  <c r="F135" i="3" s="1"/>
  <c r="F136" i="3" s="1"/>
  <c r="F137" i="3" l="1"/>
  <c r="F138" i="3" s="1"/>
  <c r="F139" i="3" s="1"/>
  <c r="F140" i="3" s="1"/>
  <c r="F141" i="3" s="1"/>
  <c r="F142" i="3" s="1"/>
  <c r="F143" i="3" s="1"/>
  <c r="F144" i="3" s="1"/>
  <c r="F145" i="3" s="1"/>
  <c r="F146" i="3" s="1"/>
  <c r="F147" i="3" l="1"/>
  <c r="F148" i="3" s="1"/>
  <c r="F149" i="3" s="1"/>
  <c r="F150" i="3" s="1"/>
  <c r="F151" i="3" s="1"/>
  <c r="F152" i="3" s="1"/>
  <c r="F153" i="3" l="1"/>
  <c r="F154" i="3" s="1"/>
  <c r="F155" i="3" s="1"/>
  <c r="F156" i="3" s="1"/>
  <c r="F157" i="3" s="1"/>
  <c r="F158" i="3" s="1"/>
  <c r="F159" i="3" s="1"/>
  <c r="F160" i="3" s="1"/>
  <c r="F161" i="3" s="1"/>
  <c r="F162" i="3" s="1"/>
  <c r="F163" i="3" s="1"/>
  <c r="F164" i="3" s="1"/>
  <c r="F165" i="3" s="1"/>
  <c r="F166" i="3" s="1"/>
  <c r="F167" i="3" s="1"/>
  <c r="F168" i="3" s="1"/>
  <c r="F169" i="3" s="1"/>
  <c r="F170" i="3" s="1"/>
  <c r="F171" i="3" s="1"/>
  <c r="F172" i="3" s="1"/>
  <c r="F173" i="3" s="1"/>
  <c r="F174" i="3" s="1"/>
  <c r="F175" i="3" s="1"/>
  <c r="F176" i="3" s="1"/>
  <c r="F177" i="3" s="1"/>
  <c r="F178" i="3" s="1"/>
  <c r="F179" i="3" s="1"/>
  <c r="F180" i="3" s="1"/>
  <c r="F181" i="3" s="1"/>
  <c r="F182" i="3" s="1"/>
  <c r="F183" i="3" s="1"/>
  <c r="F184" i="3" s="1"/>
  <c r="F185" i="3" s="1"/>
  <c r="F186" i="3" s="1"/>
  <c r="F187" i="3" s="1"/>
  <c r="F188" i="3" s="1"/>
  <c r="F189" i="3" s="1"/>
  <c r="F190" i="3" s="1"/>
  <c r="F191" i="3" s="1"/>
  <c r="F192" i="3" s="1"/>
  <c r="F193" i="3" l="1"/>
  <c r="F194" i="3" s="1"/>
  <c r="F195" i="3" s="1"/>
  <c r="F196" i="3" s="1"/>
  <c r="F197" i="3" s="1"/>
  <c r="F198" i="3" s="1"/>
  <c r="F199" i="3" s="1"/>
  <c r="F200" i="3" s="1"/>
  <c r="F201" i="3" s="1"/>
  <c r="F202" i="3" s="1"/>
  <c r="F203" i="3" s="1"/>
  <c r="F204" i="3" s="1"/>
  <c r="F205" i="3" s="1"/>
  <c r="F206" i="3" s="1"/>
  <c r="F207" i="3" l="1"/>
  <c r="F208" i="3" s="1"/>
  <c r="F209" i="3" s="1"/>
  <c r="F210" i="3" s="1"/>
  <c r="F211" i="3" s="1"/>
  <c r="F212" i="3" s="1"/>
  <c r="F213" i="3" s="1"/>
  <c r="F214" i="3" s="1"/>
  <c r="F215" i="3" s="1"/>
  <c r="F216" i="3" s="1"/>
  <c r="F217" i="3" s="1"/>
  <c r="F218" i="3" s="1"/>
  <c r="F219" i="3" s="1"/>
  <c r="F220" i="3" s="1"/>
  <c r="F221" i="3" s="1"/>
  <c r="F222" i="3" s="1"/>
  <c r="F223" i="3" s="1"/>
  <c r="F224" i="3" s="1"/>
  <c r="F225" i="3" s="1"/>
  <c r="F226" i="3" s="1"/>
  <c r="F227" i="3" s="1"/>
  <c r="F228" i="3" s="1"/>
  <c r="F229" i="3" s="1"/>
  <c r="F230" i="3" s="1"/>
  <c r="F231" i="3" s="1"/>
  <c r="F232" i="3" s="1"/>
  <c r="F233" i="3" s="1"/>
  <c r="F234" i="3" s="1"/>
  <c r="F235" i="3" s="1"/>
  <c r="F236" i="3" s="1"/>
  <c r="F237" i="3" s="1"/>
  <c r="F238" i="3" s="1"/>
  <c r="F239" i="3" s="1"/>
  <c r="F240" i="3" s="1"/>
  <c r="F241" i="3" s="1"/>
  <c r="F242" i="3" s="1"/>
  <c r="F243" i="3" s="1"/>
  <c r="F244" i="3" s="1"/>
</calcChain>
</file>

<file path=xl/sharedStrings.xml><?xml version="1.0" encoding="utf-8"?>
<sst xmlns="http://schemas.openxmlformats.org/spreadsheetml/2006/main" count="761" uniqueCount="264">
  <si>
    <t>BHARATH CYCLE HUB</t>
  </si>
  <si>
    <t>LEDGER  —  CULTSPORT PVT LTD</t>
  </si>
  <si>
    <t>(formerly CULTGEAR)  ·  Invoices &amp; GST credit notes per GSTR-2B + CULTSPORT AR credit memos &amp; debit notes  ·  Balance = Previous + Amount − Payment</t>
  </si>
  <si>
    <t>PURCHASES (₹)</t>
  </si>
  <si>
    <t>CREDIT NOTES (₹)</t>
  </si>
  <si>
    <t>DEBIT NOTES (₹)</t>
  </si>
  <si>
    <t>PAYMENTS (₹)</t>
  </si>
  <si>
    <t>CLOSING PAYABLE (₹)</t>
  </si>
  <si>
    <t>Date</t>
  </si>
  <si>
    <t>Transactions</t>
  </si>
  <si>
    <t>Details</t>
  </si>
  <si>
    <t>Amount (₹)</t>
  </si>
  <si>
    <t>Payment (₹)</t>
  </si>
  <si>
    <t>Balance (₹)</t>
  </si>
  <si>
    <t>Source</t>
  </si>
  <si>
    <t>2900456</t>
  </si>
  <si>
    <t>Purchase</t>
  </si>
  <si>
    <t>GSTR-2B · CULTGEAR</t>
  </si>
  <si>
    <t>2900470</t>
  </si>
  <si>
    <t>3600172</t>
  </si>
  <si>
    <t>2900502</t>
  </si>
  <si>
    <t>2900504</t>
  </si>
  <si>
    <t>2990134</t>
  </si>
  <si>
    <t>Credit Note</t>
  </si>
  <si>
    <t>GSTR-2B CRDN</t>
  </si>
  <si>
    <t>2900514</t>
  </si>
  <si>
    <t>9000286</t>
  </si>
  <si>
    <t>2900533</t>
  </si>
  <si>
    <t>2900547</t>
  </si>
  <si>
    <t>0000309421360879</t>
  </si>
  <si>
    <t>Payment</t>
  </si>
  <si>
    <t>Bank · HDFC</t>
  </si>
  <si>
    <t>0000309521399169</t>
  </si>
  <si>
    <t>29300010</t>
  </si>
  <si>
    <t>N097232408138373</t>
  </si>
  <si>
    <t>29300041</t>
  </si>
  <si>
    <t>3391</t>
  </si>
  <si>
    <t>3401</t>
  </si>
  <si>
    <t>N121232439135486</t>
  </si>
  <si>
    <t>29300117</t>
  </si>
  <si>
    <t>36300056</t>
  </si>
  <si>
    <t>N137232463783498</t>
  </si>
  <si>
    <t>29300136</t>
  </si>
  <si>
    <t>6300240</t>
  </si>
  <si>
    <t>6300241</t>
  </si>
  <si>
    <t>0000314501350156</t>
  </si>
  <si>
    <t>33300263</t>
  </si>
  <si>
    <t>0000316111328336</t>
  </si>
  <si>
    <t>0000316821336395</t>
  </si>
  <si>
    <t>29300204</t>
  </si>
  <si>
    <t>0000317013372302</t>
  </si>
  <si>
    <t>29300207</t>
  </si>
  <si>
    <t>29390134</t>
  </si>
  <si>
    <t>4283</t>
  </si>
  <si>
    <t>Credit Memo · CULTSPORT AR</t>
  </si>
  <si>
    <t>93000215</t>
  </si>
  <si>
    <t>29300262</t>
  </si>
  <si>
    <t>N187232534777753</t>
  </si>
  <si>
    <t>N193232547419492</t>
  </si>
  <si>
    <t>29300298</t>
  </si>
  <si>
    <t>N196232551279827</t>
  </si>
  <si>
    <t>5189</t>
  </si>
  <si>
    <t>N212232571705286</t>
  </si>
  <si>
    <t>29300372</t>
  </si>
  <si>
    <t>0000322220303952</t>
  </si>
  <si>
    <t>N235232607312322</t>
  </si>
  <si>
    <t>36300176</t>
  </si>
  <si>
    <t>33300660</t>
  </si>
  <si>
    <t>36300185</t>
  </si>
  <si>
    <t>93000325</t>
  </si>
  <si>
    <t>5813</t>
  </si>
  <si>
    <t>N249232629921879</t>
  </si>
  <si>
    <t>33300828</t>
  </si>
  <si>
    <t>33300829</t>
  </si>
  <si>
    <t>36300214</t>
  </si>
  <si>
    <t>29300522</t>
  </si>
  <si>
    <t>6301133</t>
  </si>
  <si>
    <t>6301134</t>
  </si>
  <si>
    <t>33300916</t>
  </si>
  <si>
    <t>6301234</t>
  </si>
  <si>
    <t>1836332</t>
  </si>
  <si>
    <t>Debit Note</t>
  </si>
  <si>
    <t>Debit Memo · CULTSPORT AR</t>
  </si>
  <si>
    <t>6310</t>
  </si>
  <si>
    <t>6301303</t>
  </si>
  <si>
    <t>6301344</t>
  </si>
  <si>
    <t>33301128</t>
  </si>
  <si>
    <t>6301512</t>
  </si>
  <si>
    <t>3630124</t>
  </si>
  <si>
    <t>33301208</t>
  </si>
  <si>
    <t>3300040</t>
  </si>
  <si>
    <t>27300425</t>
  </si>
  <si>
    <t>3300059</t>
  </si>
  <si>
    <t>93000438</t>
  </si>
  <si>
    <t>3390003</t>
  </si>
  <si>
    <t>33301247</t>
  </si>
  <si>
    <t>6301735</t>
  </si>
  <si>
    <t>33301286</t>
  </si>
  <si>
    <t>S35119561</t>
  </si>
  <si>
    <t>Bank · ICICI</t>
  </si>
  <si>
    <t>7389</t>
  </si>
  <si>
    <t>33301310</t>
  </si>
  <si>
    <t>33301379</t>
  </si>
  <si>
    <t>S93967232</t>
  </si>
  <si>
    <t>8013</t>
  </si>
  <si>
    <t>S41516659</t>
  </si>
  <si>
    <t>93000616</t>
  </si>
  <si>
    <t>33301566</t>
  </si>
  <si>
    <t>93000652</t>
  </si>
  <si>
    <t>8769</t>
  </si>
  <si>
    <t>S86185202</t>
  </si>
  <si>
    <t>S46905486</t>
  </si>
  <si>
    <t>S22568858</t>
  </si>
  <si>
    <t>S22588430</t>
  </si>
  <si>
    <t>N072242930465274</t>
  </si>
  <si>
    <t>S33836889</t>
  </si>
  <si>
    <t>S53097764</t>
  </si>
  <si>
    <t>N220243192301552</t>
  </si>
  <si>
    <t>3301547</t>
  </si>
  <si>
    <t>36300759</t>
  </si>
  <si>
    <t>3301583</t>
  </si>
  <si>
    <t>33302562</t>
  </si>
  <si>
    <t>3301589</t>
  </si>
  <si>
    <t>S44048171</t>
  </si>
  <si>
    <t>33302585</t>
  </si>
  <si>
    <t>12862</t>
  </si>
  <si>
    <t>3301656</t>
  </si>
  <si>
    <t>2342307</t>
  </si>
  <si>
    <t>1341862</t>
  </si>
  <si>
    <t>3301946</t>
  </si>
  <si>
    <t>2355283</t>
  </si>
  <si>
    <t>N281243313932502</t>
  </si>
  <si>
    <t>S99002838</t>
  </si>
  <si>
    <t>9008</t>
  </si>
  <si>
    <t>GSTR-2B · CULTSPORT</t>
  </si>
  <si>
    <t>13001</t>
  </si>
  <si>
    <t>13002</t>
  </si>
  <si>
    <t>N323243403815594</t>
  </si>
  <si>
    <t>S38089791</t>
  </si>
  <si>
    <t>2400397</t>
  </si>
  <si>
    <t>2400400</t>
  </si>
  <si>
    <t>2401353</t>
  </si>
  <si>
    <t>2403303</t>
  </si>
  <si>
    <t>HDFCN52025011811812652</t>
  </si>
  <si>
    <t>2412555</t>
  </si>
  <si>
    <t>2412556</t>
  </si>
  <si>
    <t>2415290</t>
  </si>
  <si>
    <t>S48052084</t>
  </si>
  <si>
    <t>S91408178</t>
  </si>
  <si>
    <t>HDFCR52025022694252775</t>
  </si>
  <si>
    <t>S42216995</t>
  </si>
  <si>
    <t>2439604</t>
  </si>
  <si>
    <t>2439673</t>
  </si>
  <si>
    <t>2442338</t>
  </si>
  <si>
    <t>2446423</t>
  </si>
  <si>
    <t>2447432</t>
  </si>
  <si>
    <t>2456541</t>
  </si>
  <si>
    <t>2457877</t>
  </si>
  <si>
    <t>2458476</t>
  </si>
  <si>
    <t>2460871</t>
  </si>
  <si>
    <t>2468572</t>
  </si>
  <si>
    <t>2470394</t>
  </si>
  <si>
    <t>HDFCN52025060267775925</t>
  </si>
  <si>
    <t>2471101</t>
  </si>
  <si>
    <t>2473442</t>
  </si>
  <si>
    <t>S67998420</t>
  </si>
  <si>
    <t>2476795</t>
  </si>
  <si>
    <t>2477809</t>
  </si>
  <si>
    <t>S1849206</t>
  </si>
  <si>
    <t>2478802</t>
  </si>
  <si>
    <t>2480457</t>
  </si>
  <si>
    <t>2481441</t>
  </si>
  <si>
    <t>2480508</t>
  </si>
  <si>
    <t>2488846</t>
  </si>
  <si>
    <t>2488877</t>
  </si>
  <si>
    <t>2488909</t>
  </si>
  <si>
    <t>2492860</t>
  </si>
  <si>
    <t>S49392398</t>
  </si>
  <si>
    <t>2500669</t>
  </si>
  <si>
    <t>2500771</t>
  </si>
  <si>
    <t>2500938</t>
  </si>
  <si>
    <t>2499873</t>
  </si>
  <si>
    <t>2499874</t>
  </si>
  <si>
    <t>2500959</t>
  </si>
  <si>
    <t>2500960</t>
  </si>
  <si>
    <t>2500961</t>
  </si>
  <si>
    <t>2500963</t>
  </si>
  <si>
    <t>2500964</t>
  </si>
  <si>
    <t>2500965</t>
  </si>
  <si>
    <t>2500966</t>
  </si>
  <si>
    <t>2500967</t>
  </si>
  <si>
    <t>2500968</t>
  </si>
  <si>
    <t>2500969</t>
  </si>
  <si>
    <t>CHE/FY26/49203</t>
  </si>
  <si>
    <t>CSLUD/FY26/0735</t>
  </si>
  <si>
    <t>S92253175</t>
  </si>
  <si>
    <t>CSPN/FY26/0202</t>
  </si>
  <si>
    <t>CSPN/FY26/0203</t>
  </si>
  <si>
    <t>69963</t>
  </si>
  <si>
    <t>69966</t>
  </si>
  <si>
    <t>CSLUD/FY26/2327</t>
  </si>
  <si>
    <t>CSLUD/FY26/2504</t>
  </si>
  <si>
    <t>73701</t>
  </si>
  <si>
    <t>CSLUD/FY26/2514</t>
  </si>
  <si>
    <t>S98568420</t>
  </si>
  <si>
    <t>CSLUD/FY26/2801</t>
  </si>
  <si>
    <t>CSLUD/FY26/2804</t>
  </si>
  <si>
    <t>CSLUD/FY26/2817</t>
  </si>
  <si>
    <t>S52871886</t>
  </si>
  <si>
    <t>57147</t>
  </si>
  <si>
    <t>25092</t>
  </si>
  <si>
    <t>2527200</t>
  </si>
  <si>
    <t>2527207</t>
  </si>
  <si>
    <t>78278</t>
  </si>
  <si>
    <t>78279</t>
  </si>
  <si>
    <t>78280</t>
  </si>
  <si>
    <t>78281</t>
  </si>
  <si>
    <t>79057</t>
  </si>
  <si>
    <t>79058</t>
  </si>
  <si>
    <t>S91383969</t>
  </si>
  <si>
    <t>64002</t>
  </si>
  <si>
    <t>64003</t>
  </si>
  <si>
    <t>67006</t>
  </si>
  <si>
    <t>S80623623</t>
  </si>
  <si>
    <t>CSLUD/FY26/3810</t>
  </si>
  <si>
    <t>LUDHOL/INS/0003</t>
  </si>
  <si>
    <t>2549687</t>
  </si>
  <si>
    <t>LUDHOL/INS/0047</t>
  </si>
  <si>
    <t>CSPN/FY26/1420</t>
  </si>
  <si>
    <t>2550998</t>
  </si>
  <si>
    <t>LUDHOL/INS/0175</t>
  </si>
  <si>
    <t>2550255</t>
  </si>
  <si>
    <t>2550256</t>
  </si>
  <si>
    <t>CPFY27SI/0127</t>
  </si>
  <si>
    <t>LHFY27SI/0228</t>
  </si>
  <si>
    <t>LHFY27SI/0230</t>
  </si>
  <si>
    <t>LHFY27SI/0251</t>
  </si>
  <si>
    <t>LHFY27SI/0339</t>
  </si>
  <si>
    <t>LHFY27SI/0471</t>
  </si>
  <si>
    <t>LHFY27SI/0504</t>
  </si>
  <si>
    <t>2556511</t>
  </si>
  <si>
    <t>LHFY27SI/0577</t>
  </si>
  <si>
    <t>CPFY27SI/0391</t>
  </si>
  <si>
    <t>LHFY27SI/0657</t>
  </si>
  <si>
    <t>LHFY27SI/0700</t>
  </si>
  <si>
    <t>CPFY27SI/0443</t>
  </si>
  <si>
    <t>CPFY27SI/0453</t>
  </si>
  <si>
    <t>2589936</t>
  </si>
  <si>
    <t>CPFY27SI/0864</t>
  </si>
  <si>
    <t>GST · CULTSPORT (Jun-26, not filed)</t>
  </si>
  <si>
    <t>LHFY27SI/1250</t>
  </si>
  <si>
    <t>LHFY27SI/1458</t>
  </si>
  <si>
    <t>LHFY27SI/1530</t>
  </si>
  <si>
    <t>CPFY27SI/1249</t>
  </si>
  <si>
    <t>LHFY27SI/1877</t>
  </si>
  <si>
    <t>CLOSING BALANCE — Payable to CULTSPORT</t>
  </si>
  <si>
    <t xml:space="preserve">Opening balance </t>
  </si>
  <si>
    <t>S85674266</t>
  </si>
  <si>
    <t>S75796521</t>
  </si>
  <si>
    <t>S15315912</t>
  </si>
  <si>
    <t>S46149212</t>
  </si>
  <si>
    <t>K</t>
  </si>
  <si>
    <t>KKBKH23045838340</t>
  </si>
  <si>
    <t>N072232369918804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</si>
</sst>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;\(#,##0.00\);\–"/>
    <numFmt numFmtId="165" formatCode="dd\-mmm\-yyyy"/>
  </numFmts>
  <fonts count="26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b/>
      <sz val="12"/>
      <color rgb="FFC9A46B"/>
      <name val="Arial"/>
      <charset val="1"/>
    </font>
    <font>
      <sz val="8"/>
      <color rgb="FF6B6B6B"/>
      <name val="Arial"/>
      <charset val="1"/>
    </font>
    <font>
      <b/>
      <sz val="11"/>
      <color rgb="FF111111"/>
      <name val="Arial"/>
      <charset val="1"/>
    </font>
    <font>
      <b/>
      <sz val="11"/>
      <color rgb="FF1B7A43"/>
      <name val="Arial"/>
      <charset val="1"/>
    </font>
    <font>
      <b/>
      <sz val="11"/>
      <color rgb="FF8A6D1A"/>
      <name val="Arial"/>
      <charset val="1"/>
    </font>
    <font>
      <b/>
      <sz val="11"/>
      <color rgb="FF1F4E79"/>
      <name val="Arial"/>
      <charset val="1"/>
    </font>
    <font>
      <b/>
      <sz val="11"/>
      <color rgb="FFB42318"/>
      <name val="Arial"/>
      <charset val="1"/>
    </font>
    <font>
      <b/>
      <sz val="9"/>
      <color rgb="FFFFFFFF"/>
      <name val="Arial"/>
      <charset val="1"/>
    </font>
    <font>
      <sz val="9"/>
      <color rgb="FF111111"/>
      <name val="Arial"/>
      <charset val="1"/>
    </font>
    <font>
      <b/>
      <sz val="9"/>
      <color rgb="FF111111"/>
      <name val="Arial"/>
      <charset val="1"/>
    </font>
    <font>
      <sz val="9"/>
      <color rgb="FF1F4E79"/>
      <name val="Arial"/>
      <charset val="1"/>
    </font>
    <font>
      <b/>
      <sz val="9"/>
      <color rgb="FF1B7A43"/>
      <name val="Arial"/>
      <charset val="1"/>
    </font>
    <font>
      <sz val="9"/>
      <color rgb="FF1B7A43"/>
      <name val="Arial"/>
      <charset val="1"/>
    </font>
    <font>
      <b/>
      <sz val="9"/>
      <color rgb="FF1F4E79"/>
      <name val="Arial"/>
      <charset val="1"/>
    </font>
    <font>
      <b/>
      <sz val="9"/>
      <color rgb="FF8A6D1A"/>
      <name val="Arial"/>
      <charset val="1"/>
    </font>
    <font>
      <b/>
      <sz val="10"/>
      <color rgb="FFFFFFFF"/>
      <name val="Arial"/>
      <charset val="1"/>
    </font>
    <font>
      <b/>
      <sz val="11"/>
      <color rgb="FFC9A46B"/>
      <name val="Arial"/>
      <charset val="1"/>
    </font>
    <font>
      <sz val="11"/>
      <color theme="1"/>
      <name val="Calibri"/>
      <family val="2"/>
    </font>
    <font>
      <b/>
      <sz val="9"/>
      <color rgb="FF111111"/>
      <name val="Arial"/>
      <family val="2"/>
    </font>
    <font>
      <sz val="9"/>
      <color rgb="FF111111"/>
      <name val="Arial"/>
      <family val="2"/>
    </font>
    <font>
      <b/>
      <sz val="9"/>
      <color rgb="FF1F4E79"/>
      <name val="Arial"/>
      <family val="2"/>
    </font>
    <font>
      <sz val="10"/>
      <color indexed="8"/>
      <name val="Arial"/>
      <family val="2"/>
    </font>
    <font>
      <sz val="12"/>
      <color theme="1"/>
      <name val="Arial"/>
      <family val="2"/>
    </font>
    <font>
      <b/>
      <sz val="9"/>
      <color rgb="FF1B7A43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0A0A0A"/>
        <bgColor rgb="FF111111"/>
      </patternFill>
    </fill>
    <fill>
      <patternFill patternType="solid">
        <fgColor rgb="FFF0EEE9"/>
        <bgColor rgb="FFE8F3EC"/>
      </patternFill>
    </fill>
    <fill>
      <patternFill patternType="solid">
        <fgColor rgb="FF374151"/>
        <bgColor rgb="FF1F4E79"/>
      </patternFill>
    </fill>
    <fill>
      <patternFill patternType="solid">
        <fgColor rgb="FFFFFFFF"/>
        <bgColor rgb="FFF7F6F3"/>
      </patternFill>
    </fill>
    <fill>
      <patternFill patternType="solid">
        <fgColor rgb="FFF7F6F3"/>
        <bgColor rgb="FFFBF3E2"/>
      </patternFill>
    </fill>
    <fill>
      <patternFill patternType="solid">
        <fgColor rgb="FFE8F3EC"/>
        <bgColor rgb="FFE7EEF6"/>
      </patternFill>
    </fill>
    <fill>
      <patternFill patternType="solid">
        <fgColor rgb="FFE7EEF6"/>
        <bgColor rgb="FFE8F3EC"/>
      </patternFill>
    </fill>
    <fill>
      <patternFill patternType="solid">
        <fgColor rgb="FFFBF3E2"/>
        <bgColor rgb="FFF7F6F3"/>
      </patternFill>
    </fill>
  </fills>
  <borders count="4">
    <border>
      <left/>
      <right/>
      <top/>
      <bottom/>
      <diagonal/>
    </border>
    <border>
      <left style="thin">
        <color rgb="FFD9D7D2"/>
      </left>
      <right style="thin">
        <color rgb="FFD9D7D2"/>
      </right>
      <top style="thin">
        <color rgb="FFD9D7D2"/>
      </top>
      <bottom style="thin">
        <color rgb="FFD9D7D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3" fillId="3" borderId="0" xfId="0" applyFont="1" applyFill="1" applyAlignment="1">
      <alignment horizontal="left" indent="1"/>
    </xf>
    <xf numFmtId="164" fontId="5" fillId="3" borderId="0" xfId="0" applyNumberFormat="1" applyFont="1" applyFill="1" applyAlignment="1">
      <alignment horizontal="left" indent="1"/>
    </xf>
    <xf numFmtId="164" fontId="6" fillId="3" borderId="0" xfId="0" applyNumberFormat="1" applyFont="1" applyFill="1" applyAlignment="1">
      <alignment horizontal="left" indent="1"/>
    </xf>
    <xf numFmtId="164" fontId="7" fillId="3" borderId="0" xfId="0" applyNumberFormat="1" applyFont="1" applyFill="1" applyAlignment="1">
      <alignment horizontal="left" indent="1"/>
    </xf>
    <xf numFmtId="0" fontId="9" fillId="4" borderId="1" xfId="0" applyFont="1" applyFill="1" applyBorder="1" applyAlignment="1">
      <alignment horizontal="center" vertical="center" wrapText="1"/>
    </xf>
    <xf numFmtId="165" fontId="10" fillId="5" borderId="1" xfId="0" applyNumberFormat="1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center" vertical="center" wrapText="1"/>
    </xf>
    <xf numFmtId="164" fontId="10" fillId="5" borderId="1" xfId="0" applyNumberFormat="1" applyFont="1" applyFill="1" applyBorder="1" applyAlignment="1">
      <alignment horizontal="right" vertical="center"/>
    </xf>
    <xf numFmtId="164" fontId="12" fillId="5" borderId="1" xfId="0" applyNumberFormat="1" applyFont="1" applyFill="1" applyBorder="1" applyAlignment="1">
      <alignment horizontal="right" vertical="center"/>
    </xf>
    <xf numFmtId="164" fontId="11" fillId="5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left" vertical="center"/>
    </xf>
    <xf numFmtId="165" fontId="10" fillId="6" borderId="1" xfId="0" applyNumberFormat="1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left" vertical="center"/>
    </xf>
    <xf numFmtId="0" fontId="11" fillId="6" borderId="1" xfId="0" applyFont="1" applyFill="1" applyBorder="1" applyAlignment="1">
      <alignment horizontal="center" vertical="center" wrapText="1"/>
    </xf>
    <xf numFmtId="164" fontId="10" fillId="6" borderId="1" xfId="0" applyNumberFormat="1" applyFont="1" applyFill="1" applyBorder="1" applyAlignment="1">
      <alignment horizontal="right" vertical="center"/>
    </xf>
    <xf numFmtId="164" fontId="12" fillId="6" borderId="1" xfId="0" applyNumberFormat="1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left" vertical="center"/>
    </xf>
    <xf numFmtId="0" fontId="13" fillId="7" borderId="1" xfId="0" applyFont="1" applyFill="1" applyBorder="1" applyAlignment="1">
      <alignment horizontal="center" vertical="center" wrapText="1"/>
    </xf>
    <xf numFmtId="164" fontId="14" fillId="6" borderId="1" xfId="0" applyNumberFormat="1" applyFont="1" applyFill="1" applyBorder="1" applyAlignment="1">
      <alignment horizontal="right" vertical="center"/>
    </xf>
    <xf numFmtId="0" fontId="15" fillId="8" borderId="1" xfId="0" applyFont="1" applyFill="1" applyBorder="1" applyAlignment="1">
      <alignment horizontal="center" vertical="center" wrapText="1"/>
    </xf>
    <xf numFmtId="164" fontId="14" fillId="5" borderId="1" xfId="0" applyNumberFormat="1" applyFont="1" applyFill="1" applyBorder="1" applyAlignment="1">
      <alignment horizontal="right" vertical="center"/>
    </xf>
    <xf numFmtId="0" fontId="16" fillId="9" borderId="1" xfId="0" applyFont="1" applyFill="1" applyBorder="1" applyAlignment="1">
      <alignment horizontal="center" vertical="center" wrapText="1"/>
    </xf>
    <xf numFmtId="164" fontId="9" fillId="2" borderId="1" xfId="0" applyNumberFormat="1" applyFont="1" applyFill="1" applyBorder="1" applyAlignment="1">
      <alignment horizontal="right" vertical="center"/>
    </xf>
    <xf numFmtId="164" fontId="18" fillId="2" borderId="1" xfId="0" applyNumberFormat="1" applyFont="1" applyFill="1" applyBorder="1" applyAlignment="1">
      <alignment horizontal="right" vertical="center"/>
    </xf>
    <xf numFmtId="0" fontId="0" fillId="2" borderId="1" xfId="0" applyFill="1" applyBorder="1"/>
    <xf numFmtId="165" fontId="10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left" vertical="center"/>
    </xf>
    <xf numFmtId="0" fontId="11" fillId="0" borderId="1" xfId="0" applyFont="1" applyFill="1" applyBorder="1" applyAlignment="1">
      <alignment horizontal="center" vertical="center" wrapText="1"/>
    </xf>
    <xf numFmtId="164" fontId="10" fillId="0" borderId="1" xfId="0" applyNumberFormat="1" applyFont="1" applyFill="1" applyBorder="1" applyAlignment="1">
      <alignment horizontal="right" vertical="center"/>
    </xf>
    <xf numFmtId="164" fontId="12" fillId="0" borderId="1" xfId="0" applyNumberFormat="1" applyFont="1" applyFill="1" applyBorder="1" applyAlignment="1">
      <alignment horizontal="right" vertical="center"/>
    </xf>
    <xf numFmtId="0" fontId="3" fillId="0" borderId="1" xfId="0" applyFont="1" applyFill="1" applyBorder="1" applyAlignment="1">
      <alignment horizontal="left" vertical="center"/>
    </xf>
    <xf numFmtId="0" fontId="0" fillId="0" borderId="0" xfId="0" applyFill="1"/>
    <xf numFmtId="14" fontId="9" fillId="4" borderId="1" xfId="0" applyNumberFormat="1" applyFont="1" applyFill="1" applyBorder="1" applyAlignment="1">
      <alignment horizontal="center" vertical="center" wrapText="1"/>
    </xf>
    <xf numFmtId="164" fontId="4" fillId="3" borderId="0" xfId="0" applyNumberFormat="1" applyFont="1" applyFill="1" applyBorder="1" applyAlignment="1">
      <alignment horizontal="left" indent="1"/>
    </xf>
    <xf numFmtId="164" fontId="8" fillId="3" borderId="0" xfId="0" applyNumberFormat="1" applyFont="1" applyFill="1" applyBorder="1" applyAlignment="1">
      <alignment horizontal="left" indent="1"/>
    </xf>
    <xf numFmtId="0" fontId="17" fillId="2" borderId="1" xfId="0" applyFont="1" applyFill="1" applyBorder="1" applyAlignment="1">
      <alignment horizontal="right" indent="1"/>
    </xf>
    <xf numFmtId="0" fontId="1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3" borderId="0" xfId="0" applyFont="1" applyFill="1" applyBorder="1" applyAlignment="1">
      <alignment horizontal="left" indent="1"/>
    </xf>
    <xf numFmtId="0" fontId="19" fillId="0" borderId="0" xfId="0" applyFont="1"/>
    <xf numFmtId="0" fontId="20" fillId="6" borderId="1" xfId="0" applyFont="1" applyFill="1" applyBorder="1" applyAlignment="1">
      <alignment horizontal="center" vertical="center" wrapText="1"/>
    </xf>
    <xf numFmtId="165" fontId="21" fillId="6" borderId="1" xfId="0" applyNumberFormat="1" applyFont="1" applyFill="1" applyBorder="1" applyAlignment="1">
      <alignment horizontal="center" vertical="center" wrapText="1"/>
    </xf>
    <xf numFmtId="0" fontId="22" fillId="8" borderId="1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23" fillId="0" borderId="2" xfId="0" applyFont="1" applyBorder="1" applyAlignment="1">
      <alignment horizontal="center" wrapText="1"/>
    </xf>
    <xf numFmtId="0" fontId="24" fillId="0" borderId="0" xfId="0" applyFont="1"/>
    <xf numFmtId="0" fontId="25" fillId="7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A0A0A"/>
      <rgbColor rgb="FF8A6D1A"/>
      <rgbColor rgb="FF800080"/>
      <rgbColor rgb="FF1B7A43"/>
      <rgbColor rgb="FFC0C0C0"/>
      <rgbColor rgb="FF808080"/>
      <rgbColor rgb="FF9999FF"/>
      <rgbColor rgb="FF993366"/>
      <rgbColor rgb="FFFBF3E2"/>
      <rgbColor rgb="FFE8F3EC"/>
      <rgbColor rgb="FF660066"/>
      <rgbColor rgb="FFFF8080"/>
      <rgbColor rgb="FF0066CC"/>
      <rgbColor rgb="FFD9D7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EF6"/>
      <rgbColor rgb="FFF0EEE9"/>
      <rgbColor rgb="FFF7F6F3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B"/>
      <rgbColor rgb="FFC9A46B"/>
      <rgbColor rgb="FF374151"/>
      <rgbColor rgb="FF339966"/>
      <rgbColor rgb="FF111111"/>
      <rgbColor rgb="FF5A4A12"/>
      <rgbColor rgb="FFB42318"/>
      <rgbColor rgb="FF993366"/>
      <rgbColor rgb="FF1F4E7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6"/>
  <sheetViews>
    <sheetView tabSelected="1" topLeftCell="A209" workbookViewId="0">
      <selection activeCell="F226" sqref="F226"/>
    </sheetView>
  </sheetViews>
  <sheetFormatPr defaultRowHeight="15" x14ac:dyDescent="0.25"/>
  <cols>
    <col min="1" max="1" width="14.28515625" customWidth="1"/>
    <col min="2" max="2" width="18.7109375" customWidth="1"/>
    <col min="3" max="3" width="16.28515625" customWidth="1"/>
    <col min="4" max="4" width="16.7109375" customWidth="1"/>
    <col min="5" max="5" width="16.42578125" customWidth="1"/>
    <col min="6" max="6" width="23.42578125" customWidth="1"/>
    <col min="7" max="7" width="9.140625" customWidth="1"/>
  </cols>
  <sheetData>
    <row r="1" spans="1:9" ht="33.75" customHeight="1" x14ac:dyDescent="0.25">
      <c r="A1" s="38" t="s">
        <v>0</v>
      </c>
      <c r="B1" s="38"/>
      <c r="C1" s="38"/>
      <c r="D1" s="38"/>
      <c r="E1" s="38"/>
      <c r="F1" s="38"/>
      <c r="G1" s="38"/>
    </row>
    <row r="2" spans="1:9" ht="28.5" customHeight="1" x14ac:dyDescent="0.25">
      <c r="A2" s="39" t="s">
        <v>1</v>
      </c>
      <c r="B2" s="39"/>
      <c r="C2" s="39"/>
      <c r="D2" s="39"/>
      <c r="E2" s="39"/>
      <c r="F2" s="39"/>
      <c r="G2" s="39"/>
    </row>
    <row r="3" spans="1:9" ht="13.5" hidden="1" customHeight="1" x14ac:dyDescent="0.25">
      <c r="A3" s="40" t="s">
        <v>2</v>
      </c>
      <c r="B3" s="40"/>
      <c r="C3" s="40"/>
      <c r="D3" s="40"/>
      <c r="E3" s="40"/>
      <c r="F3" s="40"/>
      <c r="G3" s="40"/>
    </row>
    <row r="4" spans="1:9" ht="12" hidden="1" customHeight="1" x14ac:dyDescent="0.25"/>
    <row r="5" spans="1:9" ht="15" hidden="1" customHeight="1" x14ac:dyDescent="0.25">
      <c r="A5" s="41" t="s">
        <v>3</v>
      </c>
      <c r="B5" s="41"/>
      <c r="C5" s="1" t="s">
        <v>4</v>
      </c>
      <c r="D5" s="1" t="s">
        <v>5</v>
      </c>
      <c r="E5" s="1" t="s">
        <v>6</v>
      </c>
      <c r="F5" s="41" t="s">
        <v>7</v>
      </c>
      <c r="G5" s="41"/>
    </row>
    <row r="6" spans="1:9" ht="19.5" hidden="1" customHeight="1" x14ac:dyDescent="0.25">
      <c r="A6" s="35">
        <v>27015525.370000001</v>
      </c>
      <c r="B6" s="35"/>
      <c r="C6" s="2">
        <v>-5216684.03</v>
      </c>
      <c r="D6" s="3">
        <v>179417.97</v>
      </c>
      <c r="E6" s="4">
        <v>-16569683.699999999</v>
      </c>
      <c r="F6" s="36">
        <v>5408575.6100000003</v>
      </c>
      <c r="G6" s="36"/>
    </row>
    <row r="7" spans="1:9" hidden="1" x14ac:dyDescent="0.25"/>
    <row r="8" spans="1:9" ht="15" customHeight="1" x14ac:dyDescent="0.25">
      <c r="A8" s="5" t="s">
        <v>8</v>
      </c>
      <c r="B8" s="5" t="s">
        <v>9</v>
      </c>
      <c r="C8" s="5" t="s">
        <v>10</v>
      </c>
      <c r="D8" s="5" t="s">
        <v>11</v>
      </c>
      <c r="E8" s="5" t="s">
        <v>12</v>
      </c>
      <c r="F8" s="5" t="s">
        <v>13</v>
      </c>
      <c r="G8" s="5" t="s">
        <v>14</v>
      </c>
    </row>
    <row r="9" spans="1:9" ht="15" customHeight="1" x14ac:dyDescent="0.25">
      <c r="A9" s="34">
        <v>44927</v>
      </c>
      <c r="B9" s="5"/>
      <c r="C9" s="5" t="s">
        <v>256</v>
      </c>
      <c r="D9" s="5">
        <v>0</v>
      </c>
      <c r="E9" s="5">
        <v>0</v>
      </c>
      <c r="F9" s="5">
        <v>0</v>
      </c>
      <c r="G9" s="5"/>
    </row>
    <row r="10" spans="1:9" ht="15" customHeight="1" x14ac:dyDescent="0.25">
      <c r="A10" s="6">
        <v>44980</v>
      </c>
      <c r="B10" s="7" t="s">
        <v>15</v>
      </c>
      <c r="C10" s="8" t="s">
        <v>16</v>
      </c>
      <c r="D10" s="9">
        <v>168090.18</v>
      </c>
      <c r="E10" s="10"/>
      <c r="F10" s="11">
        <f>F9+D10-E10</f>
        <v>168090.18</v>
      </c>
      <c r="G10" s="12" t="s">
        <v>17</v>
      </c>
    </row>
    <row r="11" spans="1:9" ht="15" customHeight="1" x14ac:dyDescent="0.25">
      <c r="A11" s="6">
        <v>44980</v>
      </c>
      <c r="B11" s="50" t="s">
        <v>262</v>
      </c>
      <c r="C11" s="46" t="s">
        <v>30</v>
      </c>
      <c r="D11" s="9"/>
      <c r="E11" s="10">
        <v>168090</v>
      </c>
      <c r="F11" s="11">
        <f t="shared" ref="F11:F12" si="0">F10+D11-E11</f>
        <v>0.17999999999301508</v>
      </c>
      <c r="G11" s="12"/>
    </row>
    <row r="12" spans="1:9" ht="15" customHeight="1" x14ac:dyDescent="0.25">
      <c r="A12" s="13">
        <v>44984</v>
      </c>
      <c r="B12" s="14" t="s">
        <v>18</v>
      </c>
      <c r="C12" s="15" t="s">
        <v>16</v>
      </c>
      <c r="D12" s="16">
        <v>125295.52</v>
      </c>
      <c r="E12" s="17"/>
      <c r="F12" s="11">
        <f t="shared" si="0"/>
        <v>125295.7</v>
      </c>
      <c r="G12" s="18" t="s">
        <v>17</v>
      </c>
    </row>
    <row r="13" spans="1:9" ht="15" customHeight="1" x14ac:dyDescent="0.25">
      <c r="A13" s="6">
        <v>44985</v>
      </c>
      <c r="B13" s="7" t="s">
        <v>19</v>
      </c>
      <c r="C13" s="8" t="s">
        <v>16</v>
      </c>
      <c r="D13" s="9">
        <v>44531.199999999997</v>
      </c>
      <c r="E13" s="10"/>
      <c r="F13" s="11">
        <f>F12+D13-E13</f>
        <v>169826.9</v>
      </c>
      <c r="G13" s="12" t="s">
        <v>17</v>
      </c>
    </row>
    <row r="14" spans="1:9" ht="15" customHeight="1" x14ac:dyDescent="0.25">
      <c r="A14" s="6">
        <v>44998</v>
      </c>
      <c r="B14" s="50" t="s">
        <v>263</v>
      </c>
      <c r="C14" s="46" t="s">
        <v>30</v>
      </c>
      <c r="D14" s="9"/>
      <c r="E14" s="10">
        <v>155177</v>
      </c>
      <c r="F14" s="11">
        <f t="shared" ref="F14:F16" si="1">F13+D14-E14</f>
        <v>14649.899999999994</v>
      </c>
      <c r="G14" s="12"/>
    </row>
    <row r="15" spans="1:9" ht="15" customHeight="1" x14ac:dyDescent="0.25">
      <c r="A15" s="13">
        <v>45000</v>
      </c>
      <c r="B15" s="14" t="s">
        <v>20</v>
      </c>
      <c r="C15" s="15" t="s">
        <v>16</v>
      </c>
      <c r="D15" s="16">
        <v>137819.35999999999</v>
      </c>
      <c r="E15" s="17"/>
      <c r="F15" s="11">
        <f t="shared" si="1"/>
        <v>152469.25999999998</v>
      </c>
      <c r="G15" s="18" t="s">
        <v>17</v>
      </c>
    </row>
    <row r="16" spans="1:9" ht="15" customHeight="1" x14ac:dyDescent="0.25">
      <c r="A16" s="6">
        <v>45001</v>
      </c>
      <c r="B16" s="7" t="s">
        <v>21</v>
      </c>
      <c r="C16" s="8" t="s">
        <v>16</v>
      </c>
      <c r="D16" s="9">
        <v>137820.48000000001</v>
      </c>
      <c r="E16" s="10"/>
      <c r="F16" s="11">
        <f t="shared" si="1"/>
        <v>290289.74</v>
      </c>
      <c r="G16" s="12" t="s">
        <v>17</v>
      </c>
      <c r="I16" t="s">
        <v>261</v>
      </c>
    </row>
    <row r="17" spans="1:9" ht="15" customHeight="1" x14ac:dyDescent="0.25">
      <c r="A17" s="13">
        <v>45001</v>
      </c>
      <c r="B17" s="14" t="s">
        <v>22</v>
      </c>
      <c r="C17" s="19" t="s">
        <v>23</v>
      </c>
      <c r="D17" s="20"/>
      <c r="E17" s="20">
        <v>137819.35999999999</v>
      </c>
      <c r="F17" s="11">
        <f t="shared" ref="F16:F77" si="2">F16+D17-E17</f>
        <v>152470.38</v>
      </c>
      <c r="G17" s="18" t="s">
        <v>24</v>
      </c>
      <c r="I17" t="s">
        <v>261</v>
      </c>
    </row>
    <row r="18" spans="1:9" ht="15" customHeight="1" x14ac:dyDescent="0.25">
      <c r="A18" s="6">
        <v>45005</v>
      </c>
      <c r="B18" s="7" t="s">
        <v>25</v>
      </c>
      <c r="C18" s="8" t="s">
        <v>16</v>
      </c>
      <c r="D18" s="9">
        <v>383299.84000000003</v>
      </c>
      <c r="E18" s="10"/>
      <c r="F18" s="11">
        <f t="shared" si="2"/>
        <v>535770.22</v>
      </c>
      <c r="G18" s="12" t="s">
        <v>17</v>
      </c>
    </row>
    <row r="19" spans="1:9" ht="15" customHeight="1" x14ac:dyDescent="0.25">
      <c r="A19" s="13">
        <v>45005</v>
      </c>
      <c r="B19" s="14" t="s">
        <v>26</v>
      </c>
      <c r="C19" s="15" t="s">
        <v>16</v>
      </c>
      <c r="D19" s="16">
        <v>174228.32</v>
      </c>
      <c r="E19" s="17"/>
      <c r="F19" s="11">
        <f t="shared" si="2"/>
        <v>709998.54</v>
      </c>
      <c r="G19" s="18" t="s">
        <v>17</v>
      </c>
    </row>
    <row r="20" spans="1:9" ht="15" customHeight="1" x14ac:dyDescent="0.25">
      <c r="A20" s="13">
        <v>45006</v>
      </c>
      <c r="B20" s="14">
        <v>308011321639</v>
      </c>
      <c r="C20" s="43" t="s">
        <v>30</v>
      </c>
      <c r="D20" s="16"/>
      <c r="E20" s="17">
        <v>126794</v>
      </c>
      <c r="F20" s="11">
        <f t="shared" si="2"/>
        <v>583204.54</v>
      </c>
      <c r="G20" s="18"/>
    </row>
    <row r="21" spans="1:9" ht="15" customHeight="1" x14ac:dyDescent="0.25">
      <c r="A21" s="6">
        <v>45010</v>
      </c>
      <c r="B21" s="7" t="s">
        <v>27</v>
      </c>
      <c r="C21" s="8" t="s">
        <v>16</v>
      </c>
      <c r="D21" s="9">
        <v>30060.799999999999</v>
      </c>
      <c r="E21" s="10"/>
      <c r="F21" s="11">
        <f t="shared" si="2"/>
        <v>613265.34000000008</v>
      </c>
      <c r="G21" s="12" t="s">
        <v>17</v>
      </c>
    </row>
    <row r="22" spans="1:9" ht="15" customHeight="1" x14ac:dyDescent="0.25">
      <c r="A22" s="13">
        <v>45013</v>
      </c>
      <c r="B22" s="14" t="s">
        <v>28</v>
      </c>
      <c r="C22" s="15" t="s">
        <v>16</v>
      </c>
      <c r="D22" s="16">
        <v>58150.400000000001</v>
      </c>
      <c r="E22" s="17"/>
      <c r="F22" s="11">
        <f t="shared" si="2"/>
        <v>671415.74000000011</v>
      </c>
      <c r="G22" s="18" t="s">
        <v>17</v>
      </c>
    </row>
    <row r="23" spans="1:9" ht="15" customHeight="1" x14ac:dyDescent="0.25">
      <c r="A23" s="6">
        <v>45020</v>
      </c>
      <c r="B23" s="7" t="s">
        <v>29</v>
      </c>
      <c r="C23" s="21" t="s">
        <v>30</v>
      </c>
      <c r="D23" s="9"/>
      <c r="E23" s="10">
        <v>200000</v>
      </c>
      <c r="F23" s="11">
        <f t="shared" si="2"/>
        <v>471415.74000000011</v>
      </c>
      <c r="G23" s="12" t="s">
        <v>31</v>
      </c>
    </row>
    <row r="24" spans="1:9" ht="15" customHeight="1" x14ac:dyDescent="0.25">
      <c r="A24" s="13">
        <v>45021</v>
      </c>
      <c r="B24" s="14" t="s">
        <v>32</v>
      </c>
      <c r="C24" s="21" t="s">
        <v>30</v>
      </c>
      <c r="D24" s="16"/>
      <c r="E24" s="17">
        <v>200000</v>
      </c>
      <c r="F24" s="11">
        <f t="shared" si="2"/>
        <v>271415.74000000011</v>
      </c>
      <c r="G24" s="18" t="s">
        <v>31</v>
      </c>
    </row>
    <row r="25" spans="1:9" ht="15" customHeight="1" x14ac:dyDescent="0.25">
      <c r="A25" s="6">
        <v>45022</v>
      </c>
      <c r="B25" s="7" t="s">
        <v>33</v>
      </c>
      <c r="C25" s="8" t="s">
        <v>16</v>
      </c>
      <c r="D25" s="9">
        <v>227777.76</v>
      </c>
      <c r="E25" s="10"/>
      <c r="F25" s="11">
        <f t="shared" si="2"/>
        <v>499193.50000000012</v>
      </c>
      <c r="G25" s="12" t="s">
        <v>17</v>
      </c>
    </row>
    <row r="26" spans="1:9" ht="15" customHeight="1" x14ac:dyDescent="0.25">
      <c r="A26" s="13">
        <v>45023</v>
      </c>
      <c r="B26" s="14" t="s">
        <v>34</v>
      </c>
      <c r="C26" s="21" t="s">
        <v>30</v>
      </c>
      <c r="D26" s="16"/>
      <c r="E26" s="17">
        <v>200000</v>
      </c>
      <c r="F26" s="11">
        <f t="shared" si="2"/>
        <v>299193.50000000012</v>
      </c>
      <c r="G26" s="18" t="s">
        <v>31</v>
      </c>
    </row>
    <row r="27" spans="1:9" ht="15" customHeight="1" x14ac:dyDescent="0.25">
      <c r="A27" s="6">
        <v>45035</v>
      </c>
      <c r="B27" s="7" t="s">
        <v>35</v>
      </c>
      <c r="C27" s="8" t="s">
        <v>16</v>
      </c>
      <c r="D27" s="9">
        <v>275194.08</v>
      </c>
      <c r="E27" s="10"/>
      <c r="F27" s="11">
        <f t="shared" si="2"/>
        <v>574387.58000000007</v>
      </c>
      <c r="G27" s="12" t="s">
        <v>17</v>
      </c>
    </row>
    <row r="28" spans="1:9" ht="15" customHeight="1" x14ac:dyDescent="0.25">
      <c r="A28" s="13">
        <v>45035</v>
      </c>
      <c r="B28" s="14" t="s">
        <v>36</v>
      </c>
      <c r="C28" s="15" t="s">
        <v>16</v>
      </c>
      <c r="D28" s="16">
        <v>275194.08</v>
      </c>
      <c r="E28" s="17"/>
      <c r="F28" s="11">
        <f t="shared" si="2"/>
        <v>849581.66000000015</v>
      </c>
      <c r="G28" s="18" t="s">
        <v>17</v>
      </c>
      <c r="I28" t="s">
        <v>261</v>
      </c>
    </row>
    <row r="29" spans="1:9" ht="15" customHeight="1" x14ac:dyDescent="0.25">
      <c r="A29" s="6">
        <v>45035</v>
      </c>
      <c r="B29" s="7" t="s">
        <v>37</v>
      </c>
      <c r="C29" s="19" t="s">
        <v>23</v>
      </c>
      <c r="D29" s="22"/>
      <c r="E29" s="10">
        <v>275194.08</v>
      </c>
      <c r="F29" s="11">
        <f t="shared" si="2"/>
        <v>574387.58000000007</v>
      </c>
      <c r="G29" s="12" t="s">
        <v>24</v>
      </c>
      <c r="I29" t="s">
        <v>261</v>
      </c>
    </row>
    <row r="30" spans="1:9" ht="15" customHeight="1" x14ac:dyDescent="0.25">
      <c r="A30" s="13">
        <v>45047</v>
      </c>
      <c r="B30" s="14" t="s">
        <v>38</v>
      </c>
      <c r="C30" s="21" t="s">
        <v>30</v>
      </c>
      <c r="D30" s="16"/>
      <c r="E30" s="17">
        <v>203633</v>
      </c>
      <c r="F30" s="11">
        <f t="shared" si="2"/>
        <v>370754.58000000007</v>
      </c>
      <c r="G30" s="18" t="s">
        <v>31</v>
      </c>
    </row>
    <row r="31" spans="1:9" ht="15" customHeight="1" x14ac:dyDescent="0.25">
      <c r="A31" s="6">
        <v>45062</v>
      </c>
      <c r="B31" s="7" t="s">
        <v>39</v>
      </c>
      <c r="C31" s="8" t="s">
        <v>16</v>
      </c>
      <c r="D31" s="9">
        <v>365874.88</v>
      </c>
      <c r="E31" s="10"/>
      <c r="F31" s="11">
        <f t="shared" si="2"/>
        <v>736629.46000000008</v>
      </c>
      <c r="G31" s="12" t="s">
        <v>17</v>
      </c>
    </row>
    <row r="32" spans="1:9" ht="15" customHeight="1" x14ac:dyDescent="0.25">
      <c r="A32" s="13">
        <v>45062</v>
      </c>
      <c r="B32" s="14" t="s">
        <v>40</v>
      </c>
      <c r="C32" s="15" t="s">
        <v>16</v>
      </c>
      <c r="D32" s="16">
        <v>142293.76000000001</v>
      </c>
      <c r="E32" s="17"/>
      <c r="F32" s="11">
        <f t="shared" si="2"/>
        <v>878923.22000000009</v>
      </c>
      <c r="G32" s="18" t="s">
        <v>17</v>
      </c>
    </row>
    <row r="33" spans="1:9" ht="15" customHeight="1" x14ac:dyDescent="0.25">
      <c r="A33" s="6">
        <v>45063</v>
      </c>
      <c r="B33" s="7" t="s">
        <v>41</v>
      </c>
      <c r="C33" s="21" t="s">
        <v>30</v>
      </c>
      <c r="D33" s="9"/>
      <c r="E33" s="10">
        <v>253178</v>
      </c>
      <c r="F33" s="11">
        <f t="shared" si="2"/>
        <v>625745.22000000009</v>
      </c>
      <c r="G33" s="12" t="s">
        <v>31</v>
      </c>
    </row>
    <row r="34" spans="1:9" ht="15" customHeight="1" x14ac:dyDescent="0.25">
      <c r="A34" s="13">
        <v>45069</v>
      </c>
      <c r="B34" s="14" t="s">
        <v>42</v>
      </c>
      <c r="C34" s="15" t="s">
        <v>16</v>
      </c>
      <c r="D34" s="16">
        <v>72201.919999999998</v>
      </c>
      <c r="E34" s="17"/>
      <c r="F34" s="11">
        <f t="shared" si="2"/>
        <v>697947.14000000013</v>
      </c>
      <c r="G34" s="18" t="s">
        <v>17</v>
      </c>
    </row>
    <row r="35" spans="1:9" ht="15" customHeight="1" x14ac:dyDescent="0.25">
      <c r="A35" s="6">
        <v>45070</v>
      </c>
      <c r="B35" s="7" t="s">
        <v>43</v>
      </c>
      <c r="C35" s="8" t="s">
        <v>16</v>
      </c>
      <c r="D35" s="9">
        <v>50624</v>
      </c>
      <c r="E35" s="10"/>
      <c r="F35" s="11">
        <f t="shared" si="2"/>
        <v>748571.14000000013</v>
      </c>
      <c r="G35" s="12" t="s">
        <v>17</v>
      </c>
    </row>
    <row r="36" spans="1:9" ht="15" customHeight="1" x14ac:dyDescent="0.25">
      <c r="A36" s="13">
        <v>45070</v>
      </c>
      <c r="B36" s="14" t="s">
        <v>44</v>
      </c>
      <c r="C36" s="15" t="s">
        <v>16</v>
      </c>
      <c r="D36" s="16">
        <v>71680</v>
      </c>
      <c r="E36" s="17"/>
      <c r="F36" s="11">
        <f t="shared" si="2"/>
        <v>820251.14000000013</v>
      </c>
      <c r="G36" s="18" t="s">
        <v>17</v>
      </c>
    </row>
    <row r="37" spans="1:9" ht="15" customHeight="1" x14ac:dyDescent="0.25">
      <c r="A37" s="6">
        <v>45071</v>
      </c>
      <c r="B37" s="7" t="s">
        <v>45</v>
      </c>
      <c r="C37" s="21" t="s">
        <v>30</v>
      </c>
      <c r="D37" s="9"/>
      <c r="E37" s="10">
        <v>151620</v>
      </c>
      <c r="F37" s="11">
        <f t="shared" si="2"/>
        <v>668631.14000000013</v>
      </c>
      <c r="G37" s="12" t="s">
        <v>31</v>
      </c>
    </row>
    <row r="38" spans="1:9" ht="15" customHeight="1" x14ac:dyDescent="0.25">
      <c r="A38" s="13">
        <v>45086</v>
      </c>
      <c r="B38" s="14" t="s">
        <v>46</v>
      </c>
      <c r="C38" s="15" t="s">
        <v>16</v>
      </c>
      <c r="D38" s="16">
        <v>419801.76</v>
      </c>
      <c r="E38" s="17"/>
      <c r="F38" s="11">
        <f t="shared" si="2"/>
        <v>1088432.9000000001</v>
      </c>
      <c r="G38" s="18" t="s">
        <v>17</v>
      </c>
    </row>
    <row r="39" spans="1:9" ht="15" customHeight="1" x14ac:dyDescent="0.25">
      <c r="A39" s="6">
        <v>45087</v>
      </c>
      <c r="B39" s="7" t="s">
        <v>47</v>
      </c>
      <c r="C39" s="21" t="s">
        <v>30</v>
      </c>
      <c r="D39" s="9"/>
      <c r="E39" s="10">
        <v>130909</v>
      </c>
      <c r="F39" s="11">
        <f t="shared" si="2"/>
        <v>957523.90000000014</v>
      </c>
      <c r="G39" s="12" t="s">
        <v>31</v>
      </c>
    </row>
    <row r="40" spans="1:9" ht="15" customHeight="1" x14ac:dyDescent="0.25">
      <c r="A40" s="13">
        <v>45094</v>
      </c>
      <c r="B40" s="14" t="s">
        <v>48</v>
      </c>
      <c r="C40" s="21" t="s">
        <v>30</v>
      </c>
      <c r="D40" s="16"/>
      <c r="E40" s="17">
        <v>178944</v>
      </c>
      <c r="F40" s="11">
        <f t="shared" si="2"/>
        <v>778579.90000000014</v>
      </c>
      <c r="G40" s="18" t="s">
        <v>31</v>
      </c>
    </row>
    <row r="41" spans="1:9" ht="15" customHeight="1" x14ac:dyDescent="0.25">
      <c r="A41" s="6">
        <v>45096</v>
      </c>
      <c r="B41" s="7" t="s">
        <v>49</v>
      </c>
      <c r="C41" s="8" t="s">
        <v>16</v>
      </c>
      <c r="D41" s="9">
        <v>518677.6</v>
      </c>
      <c r="E41" s="10"/>
      <c r="F41" s="11">
        <f t="shared" si="2"/>
        <v>1297257.5</v>
      </c>
      <c r="G41" s="12" t="s">
        <v>17</v>
      </c>
      <c r="I41" t="s">
        <v>261</v>
      </c>
    </row>
    <row r="42" spans="1:9" ht="15" customHeight="1" x14ac:dyDescent="0.25">
      <c r="A42" s="13">
        <v>45096</v>
      </c>
      <c r="B42" s="14" t="s">
        <v>50</v>
      </c>
      <c r="C42" s="21" t="s">
        <v>30</v>
      </c>
      <c r="D42" s="16"/>
      <c r="E42" s="17">
        <v>200000</v>
      </c>
      <c r="F42" s="11">
        <f t="shared" si="2"/>
        <v>1097257.5</v>
      </c>
      <c r="G42" s="18" t="s">
        <v>31</v>
      </c>
    </row>
    <row r="43" spans="1:9" ht="15" customHeight="1" x14ac:dyDescent="0.25">
      <c r="A43" s="6">
        <v>45097</v>
      </c>
      <c r="B43" s="7" t="s">
        <v>51</v>
      </c>
      <c r="C43" s="8" t="s">
        <v>16</v>
      </c>
      <c r="D43" s="9">
        <v>516692.96</v>
      </c>
      <c r="E43" s="10"/>
      <c r="F43" s="11">
        <f t="shared" si="2"/>
        <v>1613950.46</v>
      </c>
      <c r="G43" s="12" t="s">
        <v>17</v>
      </c>
      <c r="I43" t="s">
        <v>261</v>
      </c>
    </row>
    <row r="44" spans="1:9" ht="15" customHeight="1" x14ac:dyDescent="0.25">
      <c r="A44" s="13">
        <v>45097</v>
      </c>
      <c r="B44" s="14" t="s">
        <v>52</v>
      </c>
      <c r="C44" s="19" t="s">
        <v>23</v>
      </c>
      <c r="D44" s="20"/>
      <c r="E44" s="17">
        <v>518677.6</v>
      </c>
      <c r="F44" s="11">
        <f t="shared" si="2"/>
        <v>1095272.8599999999</v>
      </c>
      <c r="G44" s="18" t="s">
        <v>24</v>
      </c>
    </row>
    <row r="45" spans="1:9" ht="15" customHeight="1" x14ac:dyDescent="0.25">
      <c r="A45" s="6">
        <v>45100</v>
      </c>
      <c r="B45" s="7" t="s">
        <v>53</v>
      </c>
      <c r="C45" s="19" t="s">
        <v>23</v>
      </c>
      <c r="D45" s="22"/>
      <c r="E45" s="10">
        <v>142252.99</v>
      </c>
      <c r="F45" s="11">
        <f t="shared" si="2"/>
        <v>953019.86999999988</v>
      </c>
      <c r="G45" s="12" t="s">
        <v>54</v>
      </c>
      <c r="I45" t="s">
        <v>261</v>
      </c>
    </row>
    <row r="46" spans="1:9" ht="15" customHeight="1" x14ac:dyDescent="0.25">
      <c r="A46" s="13">
        <v>45106</v>
      </c>
      <c r="B46" s="14" t="s">
        <v>55</v>
      </c>
      <c r="C46" s="15" t="s">
        <v>16</v>
      </c>
      <c r="D46" s="16">
        <v>35840</v>
      </c>
      <c r="E46" s="17"/>
      <c r="F46" s="11">
        <f t="shared" si="2"/>
        <v>988859.86999999988</v>
      </c>
      <c r="G46" s="18" t="s">
        <v>17</v>
      </c>
    </row>
    <row r="47" spans="1:9" ht="15" customHeight="1" x14ac:dyDescent="0.25">
      <c r="A47" s="6">
        <v>45113</v>
      </c>
      <c r="B47" s="7" t="s">
        <v>56</v>
      </c>
      <c r="C47" s="8" t="s">
        <v>16</v>
      </c>
      <c r="D47" s="9">
        <v>303388.96000000002</v>
      </c>
      <c r="E47" s="10"/>
      <c r="F47" s="11">
        <f t="shared" si="2"/>
        <v>1292248.8299999998</v>
      </c>
      <c r="G47" s="12" t="s">
        <v>17</v>
      </c>
    </row>
    <row r="48" spans="1:9" ht="15" customHeight="1" x14ac:dyDescent="0.25">
      <c r="A48" s="13">
        <v>45113</v>
      </c>
      <c r="B48" s="14" t="s">
        <v>57</v>
      </c>
      <c r="C48" s="21" t="s">
        <v>30</v>
      </c>
      <c r="D48" s="16"/>
      <c r="E48" s="17">
        <v>136604</v>
      </c>
      <c r="F48" s="11">
        <f t="shared" si="2"/>
        <v>1155644.8299999998</v>
      </c>
      <c r="G48" s="18" t="s">
        <v>31</v>
      </c>
    </row>
    <row r="49" spans="1:9" ht="15" customHeight="1" x14ac:dyDescent="0.25">
      <c r="A49" s="6">
        <v>45120</v>
      </c>
      <c r="B49" s="7" t="s">
        <v>58</v>
      </c>
      <c r="C49" s="21" t="s">
        <v>30</v>
      </c>
      <c r="D49" s="9"/>
      <c r="E49" s="10">
        <v>200000</v>
      </c>
      <c r="F49" s="11">
        <f t="shared" si="2"/>
        <v>955644.82999999984</v>
      </c>
      <c r="G49" s="12" t="s">
        <v>31</v>
      </c>
    </row>
    <row r="50" spans="1:9" ht="15" customHeight="1" x14ac:dyDescent="0.25">
      <c r="A50" s="13">
        <v>45122</v>
      </c>
      <c r="B50" s="14" t="s">
        <v>59</v>
      </c>
      <c r="C50" s="15" t="s">
        <v>16</v>
      </c>
      <c r="D50" s="16">
        <v>87467.520000000004</v>
      </c>
      <c r="E50" s="17"/>
      <c r="F50" s="11">
        <f t="shared" si="2"/>
        <v>1043112.3499999999</v>
      </c>
      <c r="G50" s="18" t="s">
        <v>17</v>
      </c>
    </row>
    <row r="51" spans="1:9" ht="15" customHeight="1" x14ac:dyDescent="0.25">
      <c r="A51" s="6">
        <v>45122</v>
      </c>
      <c r="B51" s="7" t="s">
        <v>60</v>
      </c>
      <c r="C51" s="21" t="s">
        <v>30</v>
      </c>
      <c r="D51" s="9"/>
      <c r="E51" s="10">
        <v>200000</v>
      </c>
      <c r="F51" s="11">
        <f t="shared" si="2"/>
        <v>843112.34999999986</v>
      </c>
      <c r="G51" s="12" t="s">
        <v>31</v>
      </c>
    </row>
    <row r="52" spans="1:9" ht="15" customHeight="1" x14ac:dyDescent="0.25">
      <c r="A52" s="13">
        <v>45138</v>
      </c>
      <c r="B52" s="14" t="s">
        <v>61</v>
      </c>
      <c r="C52" s="19" t="s">
        <v>23</v>
      </c>
      <c r="D52" s="20"/>
      <c r="E52" s="17">
        <v>78856.13</v>
      </c>
      <c r="F52" s="11">
        <f t="shared" si="2"/>
        <v>764256.21999999986</v>
      </c>
      <c r="G52" s="18" t="s">
        <v>54</v>
      </c>
      <c r="I52" t="s">
        <v>261</v>
      </c>
    </row>
    <row r="53" spans="1:9" ht="15" customHeight="1" x14ac:dyDescent="0.25">
      <c r="A53" s="6">
        <v>45138</v>
      </c>
      <c r="B53" s="7" t="s">
        <v>62</v>
      </c>
      <c r="C53" s="21" t="s">
        <v>30</v>
      </c>
      <c r="D53" s="9"/>
      <c r="E53" s="10">
        <v>200000</v>
      </c>
      <c r="F53" s="11">
        <f t="shared" si="2"/>
        <v>564256.21999999986</v>
      </c>
      <c r="G53" s="12" t="s">
        <v>31</v>
      </c>
    </row>
    <row r="54" spans="1:9" ht="15" customHeight="1" x14ac:dyDescent="0.25">
      <c r="A54" s="13">
        <v>45142</v>
      </c>
      <c r="B54" s="14" t="s">
        <v>63</v>
      </c>
      <c r="C54" s="15" t="s">
        <v>16</v>
      </c>
      <c r="D54" s="16">
        <v>115057.60000000001</v>
      </c>
      <c r="E54" s="17"/>
      <c r="F54" s="11">
        <f t="shared" si="2"/>
        <v>679313.81999999983</v>
      </c>
      <c r="G54" s="18" t="s">
        <v>17</v>
      </c>
    </row>
    <row r="55" spans="1:9" ht="15" customHeight="1" x14ac:dyDescent="0.25">
      <c r="A55" s="6">
        <v>45148</v>
      </c>
      <c r="B55" s="7" t="s">
        <v>64</v>
      </c>
      <c r="C55" s="21" t="s">
        <v>30</v>
      </c>
      <c r="D55" s="9"/>
      <c r="E55" s="10">
        <v>100000</v>
      </c>
      <c r="F55" s="11">
        <f t="shared" si="2"/>
        <v>579313.81999999983</v>
      </c>
      <c r="G55" s="12" t="s">
        <v>31</v>
      </c>
    </row>
    <row r="56" spans="1:9" ht="15" customHeight="1" x14ac:dyDescent="0.25">
      <c r="A56" s="13">
        <v>45161</v>
      </c>
      <c r="B56" s="14" t="s">
        <v>65</v>
      </c>
      <c r="C56" s="21" t="s">
        <v>30</v>
      </c>
      <c r="D56" s="16"/>
      <c r="E56" s="17">
        <v>200000</v>
      </c>
      <c r="F56" s="11">
        <f t="shared" si="2"/>
        <v>379313.81999999983</v>
      </c>
      <c r="G56" s="18" t="s">
        <v>31</v>
      </c>
    </row>
    <row r="57" spans="1:9" ht="15" customHeight="1" x14ac:dyDescent="0.25">
      <c r="A57" s="6">
        <v>45162</v>
      </c>
      <c r="B57" s="7" t="s">
        <v>66</v>
      </c>
      <c r="C57" s="8" t="s">
        <v>16</v>
      </c>
      <c r="D57" s="9">
        <v>51385.599999999999</v>
      </c>
      <c r="E57" s="10"/>
      <c r="F57" s="11">
        <f t="shared" si="2"/>
        <v>430699.41999999981</v>
      </c>
      <c r="G57" s="12" t="s">
        <v>17</v>
      </c>
    </row>
    <row r="58" spans="1:9" ht="15" customHeight="1" x14ac:dyDescent="0.25">
      <c r="A58" s="13">
        <v>45164</v>
      </c>
      <c r="B58" s="14" t="s">
        <v>67</v>
      </c>
      <c r="C58" s="15" t="s">
        <v>16</v>
      </c>
      <c r="D58" s="16">
        <v>100617.44</v>
      </c>
      <c r="E58" s="17"/>
      <c r="F58" s="11">
        <f t="shared" si="2"/>
        <v>531316.85999999987</v>
      </c>
      <c r="G58" s="18" t="s">
        <v>17</v>
      </c>
    </row>
    <row r="59" spans="1:9" ht="15" customHeight="1" x14ac:dyDescent="0.25">
      <c r="A59" s="6">
        <v>45169</v>
      </c>
      <c r="B59" s="7" t="s">
        <v>68</v>
      </c>
      <c r="C59" s="8" t="s">
        <v>16</v>
      </c>
      <c r="D59" s="9">
        <v>281953.28000000003</v>
      </c>
      <c r="E59" s="10"/>
      <c r="F59" s="11">
        <f t="shared" si="2"/>
        <v>813270.1399999999</v>
      </c>
      <c r="G59" s="12" t="s">
        <v>17</v>
      </c>
    </row>
    <row r="60" spans="1:9" ht="15" customHeight="1" x14ac:dyDescent="0.25">
      <c r="A60" s="13">
        <v>45169</v>
      </c>
      <c r="B60" s="14" t="s">
        <v>69</v>
      </c>
      <c r="C60" s="15" t="s">
        <v>16</v>
      </c>
      <c r="D60" s="16">
        <v>51387.839999999997</v>
      </c>
      <c r="E60" s="17"/>
      <c r="F60" s="11">
        <f t="shared" si="2"/>
        <v>864657.97999999986</v>
      </c>
      <c r="G60" s="18" t="s">
        <v>17</v>
      </c>
    </row>
    <row r="61" spans="1:9" ht="15" customHeight="1" x14ac:dyDescent="0.25">
      <c r="A61" s="6">
        <v>45169</v>
      </c>
      <c r="B61" s="7" t="s">
        <v>70</v>
      </c>
      <c r="C61" s="19" t="s">
        <v>23</v>
      </c>
      <c r="D61" s="22"/>
      <c r="E61" s="10">
        <v>24230.639999999999</v>
      </c>
      <c r="F61" s="11">
        <f t="shared" si="2"/>
        <v>840427.33999999985</v>
      </c>
      <c r="G61" s="12" t="s">
        <v>54</v>
      </c>
      <c r="I61" t="s">
        <v>261</v>
      </c>
    </row>
    <row r="62" spans="1:9" ht="15" customHeight="1" x14ac:dyDescent="0.25">
      <c r="A62" s="13">
        <v>45175</v>
      </c>
      <c r="B62" s="14" t="s">
        <v>71</v>
      </c>
      <c r="C62" s="21" t="s">
        <v>30</v>
      </c>
      <c r="D62" s="16"/>
      <c r="E62" s="17">
        <v>400000</v>
      </c>
      <c r="F62" s="11">
        <f t="shared" si="2"/>
        <v>440427.33999999985</v>
      </c>
      <c r="G62" s="18" t="s">
        <v>31</v>
      </c>
    </row>
    <row r="63" spans="1:9" ht="15" customHeight="1" x14ac:dyDescent="0.25">
      <c r="A63" s="6">
        <v>45188</v>
      </c>
      <c r="B63" s="7" t="s">
        <v>72</v>
      </c>
      <c r="C63" s="8" t="s">
        <v>16</v>
      </c>
      <c r="D63" s="9">
        <v>82613.440000000002</v>
      </c>
      <c r="E63" s="10"/>
      <c r="F63" s="11">
        <f t="shared" si="2"/>
        <v>523040.77999999985</v>
      </c>
      <c r="G63" s="12" t="s">
        <v>17</v>
      </c>
    </row>
    <row r="64" spans="1:9" ht="15" customHeight="1" x14ac:dyDescent="0.25">
      <c r="A64" s="13">
        <v>45188</v>
      </c>
      <c r="B64" s="14" t="s">
        <v>73</v>
      </c>
      <c r="C64" s="15" t="s">
        <v>16</v>
      </c>
      <c r="D64" s="16">
        <v>109110.39999999999</v>
      </c>
      <c r="E64" s="17"/>
      <c r="F64" s="11">
        <f t="shared" si="2"/>
        <v>632151.17999999982</v>
      </c>
      <c r="G64" s="18" t="s">
        <v>17</v>
      </c>
    </row>
    <row r="65" spans="1:9" ht="15" customHeight="1" x14ac:dyDescent="0.25">
      <c r="A65" s="6">
        <v>45190</v>
      </c>
      <c r="B65" s="7" t="s">
        <v>74</v>
      </c>
      <c r="C65" s="8" t="s">
        <v>16</v>
      </c>
      <c r="D65" s="9">
        <v>37531.199999999997</v>
      </c>
      <c r="E65" s="10"/>
      <c r="F65" s="11">
        <f t="shared" si="2"/>
        <v>669682.37999999977</v>
      </c>
      <c r="G65" s="12" t="s">
        <v>17</v>
      </c>
    </row>
    <row r="66" spans="1:9" ht="15" customHeight="1" x14ac:dyDescent="0.25">
      <c r="A66" s="13">
        <v>45191</v>
      </c>
      <c r="B66" s="14" t="s">
        <v>75</v>
      </c>
      <c r="C66" s="15" t="s">
        <v>16</v>
      </c>
      <c r="D66" s="16">
        <v>167166.72</v>
      </c>
      <c r="E66" s="17"/>
      <c r="F66" s="11">
        <f t="shared" si="2"/>
        <v>836849.09999999974</v>
      </c>
      <c r="G66" s="18" t="s">
        <v>17</v>
      </c>
    </row>
    <row r="67" spans="1:9" ht="15" customHeight="1" x14ac:dyDescent="0.25">
      <c r="A67" s="6">
        <v>45192</v>
      </c>
      <c r="B67" s="7" t="s">
        <v>76</v>
      </c>
      <c r="C67" s="8" t="s">
        <v>16</v>
      </c>
      <c r="D67" s="9">
        <v>48945.120000000003</v>
      </c>
      <c r="E67" s="10"/>
      <c r="F67" s="11">
        <f t="shared" si="2"/>
        <v>885794.21999999974</v>
      </c>
      <c r="G67" s="12" t="s">
        <v>17</v>
      </c>
    </row>
    <row r="68" spans="1:9" ht="15" customHeight="1" x14ac:dyDescent="0.25">
      <c r="A68" s="13">
        <v>45192</v>
      </c>
      <c r="B68" s="14" t="s">
        <v>77</v>
      </c>
      <c r="C68" s="15" t="s">
        <v>16</v>
      </c>
      <c r="D68" s="16">
        <v>15993.6</v>
      </c>
      <c r="E68" s="17"/>
      <c r="F68" s="11">
        <f t="shared" si="2"/>
        <v>901787.81999999972</v>
      </c>
      <c r="G68" s="18" t="s">
        <v>17</v>
      </c>
    </row>
    <row r="69" spans="1:9" ht="15" customHeight="1" x14ac:dyDescent="0.25">
      <c r="A69" s="6">
        <v>45195</v>
      </c>
      <c r="B69" s="7" t="s">
        <v>78</v>
      </c>
      <c r="C69" s="8" t="s">
        <v>16</v>
      </c>
      <c r="D69" s="9">
        <v>30732.799999999999</v>
      </c>
      <c r="E69" s="10"/>
      <c r="F69" s="11">
        <f t="shared" si="2"/>
        <v>932520.61999999976</v>
      </c>
      <c r="G69" s="12" t="s">
        <v>17</v>
      </c>
    </row>
    <row r="70" spans="1:9" ht="15" customHeight="1" x14ac:dyDescent="0.25">
      <c r="A70" s="13">
        <v>45198</v>
      </c>
      <c r="B70" s="14" t="s">
        <v>79</v>
      </c>
      <c r="C70" s="15" t="s">
        <v>16</v>
      </c>
      <c r="D70" s="16">
        <v>41596.800000000003</v>
      </c>
      <c r="E70" s="17"/>
      <c r="F70" s="11">
        <f t="shared" si="2"/>
        <v>974117.41999999981</v>
      </c>
      <c r="G70" s="18" t="s">
        <v>17</v>
      </c>
    </row>
    <row r="71" spans="1:9" ht="15" customHeight="1" x14ac:dyDescent="0.25">
      <c r="A71" s="6">
        <v>45199</v>
      </c>
      <c r="B71" s="7" t="s">
        <v>80</v>
      </c>
      <c r="C71" s="23" t="s">
        <v>81</v>
      </c>
      <c r="D71" s="9">
        <v>164805.97</v>
      </c>
      <c r="E71" s="10"/>
      <c r="F71" s="11">
        <f t="shared" si="2"/>
        <v>1138923.3899999999</v>
      </c>
      <c r="G71" s="12" t="s">
        <v>82</v>
      </c>
    </row>
    <row r="72" spans="1:9" ht="15" customHeight="1" x14ac:dyDescent="0.25">
      <c r="A72" s="13">
        <v>45199</v>
      </c>
      <c r="B72" s="14" t="s">
        <v>83</v>
      </c>
      <c r="C72" s="19" t="s">
        <v>23</v>
      </c>
      <c r="D72" s="20"/>
      <c r="E72" s="17">
        <v>19432.16</v>
      </c>
      <c r="F72" s="11">
        <f t="shared" si="2"/>
        <v>1119491.23</v>
      </c>
      <c r="G72" s="18" t="s">
        <v>54</v>
      </c>
      <c r="I72" t="s">
        <v>261</v>
      </c>
    </row>
    <row r="73" spans="1:9" ht="15" customHeight="1" x14ac:dyDescent="0.25">
      <c r="A73" s="6">
        <v>45202</v>
      </c>
      <c r="B73" s="7" t="s">
        <v>84</v>
      </c>
      <c r="C73" s="8" t="s">
        <v>16</v>
      </c>
      <c r="D73" s="9">
        <v>50624</v>
      </c>
      <c r="E73" s="10"/>
      <c r="F73" s="11">
        <f t="shared" si="2"/>
        <v>1170115.23</v>
      </c>
      <c r="G73" s="12" t="s">
        <v>17</v>
      </c>
    </row>
    <row r="74" spans="1:9" ht="15" customHeight="1" x14ac:dyDescent="0.25">
      <c r="A74" s="13">
        <v>45209</v>
      </c>
      <c r="B74" s="14" t="s">
        <v>85</v>
      </c>
      <c r="C74" s="15" t="s">
        <v>16</v>
      </c>
      <c r="D74" s="16">
        <v>195405.28</v>
      </c>
      <c r="E74" s="17"/>
      <c r="F74" s="11">
        <f t="shared" si="2"/>
        <v>1365520.51</v>
      </c>
      <c r="G74" s="18" t="s">
        <v>17</v>
      </c>
    </row>
    <row r="75" spans="1:9" ht="15" customHeight="1" x14ac:dyDescent="0.25">
      <c r="A75" s="6">
        <v>45224</v>
      </c>
      <c r="B75" s="7" t="s">
        <v>86</v>
      </c>
      <c r="C75" s="8" t="s">
        <v>16</v>
      </c>
      <c r="D75" s="9">
        <v>157540.32</v>
      </c>
      <c r="E75" s="10"/>
      <c r="F75" s="11">
        <f t="shared" si="2"/>
        <v>1523060.83</v>
      </c>
      <c r="G75" s="12" t="s">
        <v>17</v>
      </c>
    </row>
    <row r="76" spans="1:9" ht="15" customHeight="1" x14ac:dyDescent="0.25">
      <c r="A76" s="13">
        <v>45225</v>
      </c>
      <c r="B76" s="14" t="s">
        <v>87</v>
      </c>
      <c r="C76" s="15" t="s">
        <v>16</v>
      </c>
      <c r="D76" s="16">
        <v>66009.440000000002</v>
      </c>
      <c r="E76" s="17"/>
      <c r="F76" s="11">
        <f t="shared" si="2"/>
        <v>1589070.27</v>
      </c>
      <c r="G76" s="18" t="s">
        <v>17</v>
      </c>
    </row>
    <row r="77" spans="1:9" ht="15" customHeight="1" x14ac:dyDescent="0.25">
      <c r="A77" s="6">
        <v>45239</v>
      </c>
      <c r="B77" s="7" t="s">
        <v>88</v>
      </c>
      <c r="C77" s="8" t="s">
        <v>16</v>
      </c>
      <c r="D77" s="9">
        <v>25020.799999999999</v>
      </c>
      <c r="E77" s="10"/>
      <c r="F77" s="11">
        <f t="shared" si="2"/>
        <v>1614091.07</v>
      </c>
      <c r="G77" s="12" t="s">
        <v>17</v>
      </c>
    </row>
    <row r="78" spans="1:9" ht="15" customHeight="1" x14ac:dyDescent="0.25">
      <c r="A78" s="13">
        <v>45240</v>
      </c>
      <c r="B78" s="14" t="s">
        <v>89</v>
      </c>
      <c r="C78" s="15" t="s">
        <v>16</v>
      </c>
      <c r="D78" s="16">
        <v>72688</v>
      </c>
      <c r="E78" s="17"/>
      <c r="F78" s="11">
        <f t="shared" ref="F78:F86" si="3">F77+D78-E78</f>
        <v>1686779.07</v>
      </c>
      <c r="G78" s="18" t="s">
        <v>17</v>
      </c>
    </row>
    <row r="79" spans="1:9" s="33" customFormat="1" ht="15" customHeight="1" x14ac:dyDescent="0.25">
      <c r="A79" s="27">
        <v>45246</v>
      </c>
      <c r="B79" s="28" t="s">
        <v>90</v>
      </c>
      <c r="C79" s="29" t="s">
        <v>16</v>
      </c>
      <c r="D79" s="30">
        <v>109464.32000000001</v>
      </c>
      <c r="E79" s="31"/>
      <c r="F79" s="11">
        <f t="shared" si="3"/>
        <v>1796243.3900000001</v>
      </c>
      <c r="G79" s="32" t="s">
        <v>17</v>
      </c>
      <c r="I79" s="33" t="s">
        <v>261</v>
      </c>
    </row>
    <row r="80" spans="1:9" ht="15" customHeight="1" x14ac:dyDescent="0.25">
      <c r="A80" s="13">
        <v>45250</v>
      </c>
      <c r="B80" s="14" t="s">
        <v>91</v>
      </c>
      <c r="C80" s="15" t="s">
        <v>16</v>
      </c>
      <c r="D80" s="16">
        <v>114004.8</v>
      </c>
      <c r="E80" s="17"/>
      <c r="F80" s="11">
        <f t="shared" si="3"/>
        <v>1910248.1900000002</v>
      </c>
      <c r="G80" s="18" t="s">
        <v>17</v>
      </c>
    </row>
    <row r="81" spans="1:9" ht="15" customHeight="1" x14ac:dyDescent="0.25">
      <c r="A81" s="6">
        <v>45250</v>
      </c>
      <c r="B81" s="7" t="s">
        <v>92</v>
      </c>
      <c r="C81" s="8" t="s">
        <v>16</v>
      </c>
      <c r="D81" s="9">
        <v>89747.839999999997</v>
      </c>
      <c r="E81" s="10"/>
      <c r="F81" s="11">
        <f t="shared" si="3"/>
        <v>1999996.0300000003</v>
      </c>
      <c r="G81" s="12" t="s">
        <v>17</v>
      </c>
    </row>
    <row r="82" spans="1:9" ht="15" customHeight="1" x14ac:dyDescent="0.25">
      <c r="A82" s="13">
        <v>45250</v>
      </c>
      <c r="B82" s="14" t="s">
        <v>93</v>
      </c>
      <c r="C82" s="15" t="s">
        <v>16</v>
      </c>
      <c r="D82" s="16">
        <v>19716.48</v>
      </c>
      <c r="E82" s="17"/>
      <c r="F82" s="11">
        <f t="shared" si="3"/>
        <v>2019712.5100000002</v>
      </c>
      <c r="G82" s="18" t="s">
        <v>17</v>
      </c>
    </row>
    <row r="83" spans="1:9" ht="15" customHeight="1" x14ac:dyDescent="0.25">
      <c r="A83" s="6">
        <v>45250</v>
      </c>
      <c r="B83" s="7" t="s">
        <v>94</v>
      </c>
      <c r="C83" s="19" t="s">
        <v>23</v>
      </c>
      <c r="D83" s="22"/>
      <c r="E83" s="10">
        <v>109464.32000000001</v>
      </c>
      <c r="F83" s="11">
        <f t="shared" si="3"/>
        <v>1910248.1900000002</v>
      </c>
      <c r="G83" s="12" t="s">
        <v>24</v>
      </c>
      <c r="I83" t="s">
        <v>261</v>
      </c>
    </row>
    <row r="84" spans="1:9" ht="15" customHeight="1" x14ac:dyDescent="0.25">
      <c r="A84" s="13">
        <v>45252</v>
      </c>
      <c r="B84" s="14" t="s">
        <v>95</v>
      </c>
      <c r="C84" s="15" t="s">
        <v>16</v>
      </c>
      <c r="D84" s="16">
        <v>60249.279999999999</v>
      </c>
      <c r="E84" s="17"/>
      <c r="F84" s="11">
        <f t="shared" si="3"/>
        <v>1970497.4700000002</v>
      </c>
      <c r="G84" s="18" t="s">
        <v>17</v>
      </c>
    </row>
    <row r="85" spans="1:9" ht="15" customHeight="1" x14ac:dyDescent="0.25">
      <c r="A85" s="6">
        <v>45254</v>
      </c>
      <c r="B85" s="7" t="s">
        <v>96</v>
      </c>
      <c r="C85" s="8" t="s">
        <v>16</v>
      </c>
      <c r="D85" s="9">
        <v>72688</v>
      </c>
      <c r="E85" s="10"/>
      <c r="F85" s="11">
        <f t="shared" si="3"/>
        <v>2043185.4700000002</v>
      </c>
      <c r="G85" s="12" t="s">
        <v>17</v>
      </c>
    </row>
    <row r="86" spans="1:9" ht="15" customHeight="1" x14ac:dyDescent="0.25">
      <c r="A86" s="13">
        <v>45257</v>
      </c>
      <c r="B86" s="14" t="s">
        <v>97</v>
      </c>
      <c r="C86" s="15" t="s">
        <v>16</v>
      </c>
      <c r="D86" s="16">
        <v>64232</v>
      </c>
      <c r="E86" s="17"/>
      <c r="F86" s="11">
        <f t="shared" si="3"/>
        <v>2107417.4700000002</v>
      </c>
      <c r="G86" s="18" t="s">
        <v>17</v>
      </c>
    </row>
    <row r="87" spans="1:9" ht="15" customHeight="1" x14ac:dyDescent="0.25">
      <c r="A87" s="6">
        <v>45257</v>
      </c>
      <c r="B87" s="7" t="s">
        <v>98</v>
      </c>
      <c r="C87" s="21" t="s">
        <v>30</v>
      </c>
      <c r="D87" s="9"/>
      <c r="E87" s="10">
        <v>400000</v>
      </c>
      <c r="F87" s="11">
        <f t="shared" ref="F87:F141" si="4">F86+D87-E87</f>
        <v>1707417.4700000002</v>
      </c>
      <c r="G87" s="12" t="s">
        <v>99</v>
      </c>
    </row>
    <row r="88" spans="1:9" ht="15" customHeight="1" x14ac:dyDescent="0.25">
      <c r="A88" s="13">
        <v>45259</v>
      </c>
      <c r="B88" s="14" t="s">
        <v>100</v>
      </c>
      <c r="C88" s="19" t="s">
        <v>23</v>
      </c>
      <c r="D88" s="20"/>
      <c r="E88" s="17">
        <v>128491.73</v>
      </c>
      <c r="F88" s="11">
        <f t="shared" si="4"/>
        <v>1578925.7400000002</v>
      </c>
      <c r="G88" s="18" t="s">
        <v>54</v>
      </c>
      <c r="I88" t="s">
        <v>261</v>
      </c>
    </row>
    <row r="89" spans="1:9" ht="15" customHeight="1" x14ac:dyDescent="0.25">
      <c r="A89" s="6">
        <v>45260</v>
      </c>
      <c r="B89" s="7" t="s">
        <v>101</v>
      </c>
      <c r="C89" s="8" t="s">
        <v>16</v>
      </c>
      <c r="D89" s="9">
        <v>115617.60000000001</v>
      </c>
      <c r="E89" s="10"/>
      <c r="F89" s="11">
        <f t="shared" si="4"/>
        <v>1694543.3400000003</v>
      </c>
      <c r="G89" s="12" t="s">
        <v>17</v>
      </c>
    </row>
    <row r="90" spans="1:9" ht="15" customHeight="1" x14ac:dyDescent="0.25">
      <c r="A90" s="13">
        <v>45278</v>
      </c>
      <c r="B90" s="14" t="s">
        <v>102</v>
      </c>
      <c r="C90" s="15" t="s">
        <v>16</v>
      </c>
      <c r="D90" s="16">
        <v>37945.599999999999</v>
      </c>
      <c r="E90" s="17"/>
      <c r="F90" s="11">
        <f t="shared" si="4"/>
        <v>1732488.9400000004</v>
      </c>
      <c r="G90" s="18" t="s">
        <v>17</v>
      </c>
    </row>
    <row r="91" spans="1:9" ht="15" customHeight="1" x14ac:dyDescent="0.25">
      <c r="A91" s="6">
        <v>45292</v>
      </c>
      <c r="B91" s="7" t="s">
        <v>103</v>
      </c>
      <c r="C91" s="21" t="s">
        <v>30</v>
      </c>
      <c r="D91" s="9"/>
      <c r="E91" s="10">
        <v>100000</v>
      </c>
      <c r="F91" s="11">
        <f t="shared" si="4"/>
        <v>1632488.9400000004</v>
      </c>
      <c r="G91" s="12" t="s">
        <v>99</v>
      </c>
    </row>
    <row r="92" spans="1:9" ht="15" customHeight="1" x14ac:dyDescent="0.25">
      <c r="A92" s="13">
        <v>45293</v>
      </c>
      <c r="B92" s="14" t="s">
        <v>104</v>
      </c>
      <c r="C92" s="19" t="s">
        <v>23</v>
      </c>
      <c r="D92" s="20"/>
      <c r="E92" s="17">
        <v>2000</v>
      </c>
      <c r="F92" s="11">
        <f t="shared" si="4"/>
        <v>1630488.9400000004</v>
      </c>
      <c r="G92" s="18" t="s">
        <v>54</v>
      </c>
      <c r="I92" t="s">
        <v>261</v>
      </c>
    </row>
    <row r="93" spans="1:9" ht="15" customHeight="1" x14ac:dyDescent="0.25">
      <c r="A93" s="6">
        <v>45306</v>
      </c>
      <c r="B93" s="7" t="s">
        <v>105</v>
      </c>
      <c r="C93" s="21" t="s">
        <v>30</v>
      </c>
      <c r="D93" s="9"/>
      <c r="E93" s="10">
        <v>400000</v>
      </c>
      <c r="F93" s="11">
        <f t="shared" si="4"/>
        <v>1230488.9400000004</v>
      </c>
      <c r="G93" s="12" t="s">
        <v>99</v>
      </c>
    </row>
    <row r="94" spans="1:9" ht="15" customHeight="1" x14ac:dyDescent="0.25">
      <c r="A94" s="13">
        <v>45308</v>
      </c>
      <c r="B94" s="14" t="s">
        <v>106</v>
      </c>
      <c r="C94" s="15" t="s">
        <v>16</v>
      </c>
      <c r="D94" s="16">
        <v>74300.800000000003</v>
      </c>
      <c r="E94" s="17"/>
      <c r="F94" s="11">
        <f t="shared" si="4"/>
        <v>1304789.7400000005</v>
      </c>
      <c r="G94" s="18" t="s">
        <v>17</v>
      </c>
    </row>
    <row r="95" spans="1:9" ht="15" customHeight="1" x14ac:dyDescent="0.25">
      <c r="A95" s="6">
        <v>45309</v>
      </c>
      <c r="B95" s="7" t="s">
        <v>107</v>
      </c>
      <c r="C95" s="8" t="s">
        <v>16</v>
      </c>
      <c r="D95" s="9">
        <v>72688</v>
      </c>
      <c r="E95" s="10"/>
      <c r="F95" s="11">
        <f t="shared" si="4"/>
        <v>1377477.7400000005</v>
      </c>
      <c r="G95" s="12" t="s">
        <v>17</v>
      </c>
    </row>
    <row r="96" spans="1:9" ht="15" customHeight="1" x14ac:dyDescent="0.25">
      <c r="A96" s="13">
        <v>45318</v>
      </c>
      <c r="B96" s="14" t="s">
        <v>108</v>
      </c>
      <c r="C96" s="15" t="s">
        <v>16</v>
      </c>
      <c r="D96" s="16">
        <v>128464</v>
      </c>
      <c r="E96" s="17"/>
      <c r="F96" s="11">
        <f t="shared" si="4"/>
        <v>1505941.7400000005</v>
      </c>
      <c r="G96" s="18" t="s">
        <v>17</v>
      </c>
    </row>
    <row r="97" spans="1:9" ht="15" customHeight="1" x14ac:dyDescent="0.25">
      <c r="A97" s="6">
        <v>45329</v>
      </c>
      <c r="B97" s="7" t="s">
        <v>109</v>
      </c>
      <c r="C97" s="19" t="s">
        <v>23</v>
      </c>
      <c r="D97" s="22"/>
      <c r="E97" s="10">
        <v>100000</v>
      </c>
      <c r="F97" s="11">
        <f t="shared" si="4"/>
        <v>1405941.7400000005</v>
      </c>
      <c r="G97" s="12" t="s">
        <v>54</v>
      </c>
      <c r="I97" t="s">
        <v>261</v>
      </c>
    </row>
    <row r="98" spans="1:9" ht="15" customHeight="1" x14ac:dyDescent="0.25">
      <c r="A98" s="13">
        <v>45330</v>
      </c>
      <c r="B98" s="14" t="s">
        <v>110</v>
      </c>
      <c r="C98" s="21" t="s">
        <v>30</v>
      </c>
      <c r="D98" s="16"/>
      <c r="E98" s="17">
        <v>200000</v>
      </c>
      <c r="F98" s="11">
        <f t="shared" si="4"/>
        <v>1205941.7400000005</v>
      </c>
      <c r="G98" s="18" t="s">
        <v>99</v>
      </c>
    </row>
    <row r="99" spans="1:9" ht="15" customHeight="1" x14ac:dyDescent="0.25">
      <c r="A99" s="6">
        <v>45355</v>
      </c>
      <c r="B99" s="7" t="s">
        <v>111</v>
      </c>
      <c r="C99" s="21" t="s">
        <v>30</v>
      </c>
      <c r="D99" s="9"/>
      <c r="E99" s="10">
        <v>200000</v>
      </c>
      <c r="F99" s="11">
        <f t="shared" si="4"/>
        <v>1005941.7400000005</v>
      </c>
      <c r="G99" s="12" t="s">
        <v>99</v>
      </c>
    </row>
    <row r="100" spans="1:9" ht="15" customHeight="1" x14ac:dyDescent="0.25">
      <c r="A100" s="13">
        <v>45362</v>
      </c>
      <c r="B100" s="14" t="s">
        <v>112</v>
      </c>
      <c r="C100" s="21" t="s">
        <v>30</v>
      </c>
      <c r="D100" s="16"/>
      <c r="E100" s="17">
        <v>100000</v>
      </c>
      <c r="F100" s="11">
        <f t="shared" si="4"/>
        <v>905941.74000000046</v>
      </c>
      <c r="G100" s="18" t="s">
        <v>99</v>
      </c>
    </row>
    <row r="101" spans="1:9" ht="15" customHeight="1" x14ac:dyDescent="0.25">
      <c r="A101" s="6">
        <v>45362</v>
      </c>
      <c r="B101" s="7" t="s">
        <v>113</v>
      </c>
      <c r="C101" s="21" t="s">
        <v>30</v>
      </c>
      <c r="D101" s="9"/>
      <c r="E101" s="10">
        <v>100000</v>
      </c>
      <c r="F101" s="11">
        <f t="shared" si="4"/>
        <v>805941.74000000046</v>
      </c>
      <c r="G101" s="12" t="s">
        <v>99</v>
      </c>
    </row>
    <row r="102" spans="1:9" ht="15" customHeight="1" x14ac:dyDescent="0.25">
      <c r="A102" s="13">
        <v>45363</v>
      </c>
      <c r="B102" s="14" t="s">
        <v>114</v>
      </c>
      <c r="C102" s="21" t="s">
        <v>30</v>
      </c>
      <c r="D102" s="16"/>
      <c r="E102" s="17">
        <v>100000</v>
      </c>
      <c r="F102" s="11">
        <f t="shared" si="4"/>
        <v>705941.74000000046</v>
      </c>
      <c r="G102" s="18" t="s">
        <v>31</v>
      </c>
    </row>
    <row r="103" spans="1:9" ht="15" customHeight="1" x14ac:dyDescent="0.25">
      <c r="A103" s="6">
        <v>45363</v>
      </c>
      <c r="B103" s="7" t="s">
        <v>115</v>
      </c>
      <c r="C103" s="21" t="s">
        <v>30</v>
      </c>
      <c r="D103" s="9"/>
      <c r="E103" s="10">
        <v>100000</v>
      </c>
      <c r="F103" s="11">
        <f t="shared" si="4"/>
        <v>605941.74000000046</v>
      </c>
      <c r="G103" s="12" t="s">
        <v>99</v>
      </c>
    </row>
    <row r="104" spans="1:9" ht="15" customHeight="1" x14ac:dyDescent="0.25">
      <c r="A104" s="13">
        <v>45377</v>
      </c>
      <c r="B104" s="14" t="s">
        <v>116</v>
      </c>
      <c r="C104" s="21" t="s">
        <v>30</v>
      </c>
      <c r="D104" s="16"/>
      <c r="E104" s="17">
        <v>200000</v>
      </c>
      <c r="F104" s="11">
        <f t="shared" si="4"/>
        <v>405941.74000000046</v>
      </c>
      <c r="G104" s="18" t="s">
        <v>99</v>
      </c>
    </row>
    <row r="105" spans="1:9" ht="15" customHeight="1" x14ac:dyDescent="0.25">
      <c r="A105" s="6">
        <v>45511</v>
      </c>
      <c r="B105" s="7" t="s">
        <v>117</v>
      </c>
      <c r="C105" s="21" t="s">
        <v>30</v>
      </c>
      <c r="D105" s="9"/>
      <c r="E105" s="10">
        <v>238907</v>
      </c>
      <c r="F105" s="11">
        <f t="shared" si="4"/>
        <v>167034.74000000046</v>
      </c>
      <c r="G105" s="12" t="s">
        <v>31</v>
      </c>
    </row>
    <row r="106" spans="1:9" ht="15" customHeight="1" x14ac:dyDescent="0.25">
      <c r="A106" s="13">
        <v>45518</v>
      </c>
      <c r="B106" s="14" t="s">
        <v>118</v>
      </c>
      <c r="C106" s="15" t="s">
        <v>16</v>
      </c>
      <c r="D106" s="16">
        <v>1079788.6399999999</v>
      </c>
      <c r="E106" s="17"/>
      <c r="F106" s="11">
        <f t="shared" si="4"/>
        <v>1246823.3800000004</v>
      </c>
      <c r="G106" s="18" t="s">
        <v>17</v>
      </c>
    </row>
    <row r="107" spans="1:9" ht="15" customHeight="1" x14ac:dyDescent="0.25">
      <c r="A107" s="6">
        <v>45518</v>
      </c>
      <c r="B107" s="7" t="s">
        <v>119</v>
      </c>
      <c r="C107" s="8" t="s">
        <v>16</v>
      </c>
      <c r="D107" s="9">
        <v>82604.479999999996</v>
      </c>
      <c r="E107" s="10"/>
      <c r="F107" s="11">
        <f t="shared" si="4"/>
        <v>1329427.8600000003</v>
      </c>
      <c r="G107" s="12" t="s">
        <v>17</v>
      </c>
    </row>
    <row r="108" spans="1:9" ht="15" customHeight="1" x14ac:dyDescent="0.25">
      <c r="A108" s="13">
        <v>45521</v>
      </c>
      <c r="B108" s="14" t="s">
        <v>120</v>
      </c>
      <c r="C108" s="15" t="s">
        <v>16</v>
      </c>
      <c r="D108" s="16">
        <v>50366.400000000001</v>
      </c>
      <c r="E108" s="17"/>
      <c r="F108" s="11">
        <f t="shared" si="4"/>
        <v>1379794.2600000002</v>
      </c>
      <c r="G108" s="18" t="s">
        <v>17</v>
      </c>
    </row>
    <row r="109" spans="1:9" s="33" customFormat="1" ht="15" customHeight="1" x14ac:dyDescent="0.25">
      <c r="A109" s="27">
        <v>45521</v>
      </c>
      <c r="B109" s="28" t="s">
        <v>121</v>
      </c>
      <c r="C109" s="29" t="s">
        <v>16</v>
      </c>
      <c r="D109" s="30">
        <v>276404.8</v>
      </c>
      <c r="E109" s="31"/>
      <c r="F109" s="11">
        <f t="shared" si="4"/>
        <v>1656199.0600000003</v>
      </c>
      <c r="G109" s="32" t="s">
        <v>17</v>
      </c>
    </row>
    <row r="110" spans="1:9" ht="15" customHeight="1" x14ac:dyDescent="0.25">
      <c r="A110" s="13">
        <v>45523</v>
      </c>
      <c r="B110" s="14" t="s">
        <v>122</v>
      </c>
      <c r="C110" s="15" t="s">
        <v>16</v>
      </c>
      <c r="D110" s="16">
        <v>62048</v>
      </c>
      <c r="E110" s="17"/>
      <c r="F110" s="11">
        <f t="shared" si="4"/>
        <v>1718247.0600000003</v>
      </c>
      <c r="G110" s="18" t="s">
        <v>17</v>
      </c>
    </row>
    <row r="111" spans="1:9" ht="15" customHeight="1" x14ac:dyDescent="0.25">
      <c r="A111" s="6">
        <v>45525</v>
      </c>
      <c r="B111" s="7" t="s">
        <v>123</v>
      </c>
      <c r="C111" s="21" t="s">
        <v>30</v>
      </c>
      <c r="D111" s="9"/>
      <c r="E111" s="10">
        <v>333366</v>
      </c>
      <c r="F111" s="11">
        <f t="shared" si="4"/>
        <v>1384881.0600000003</v>
      </c>
      <c r="G111" s="12" t="s">
        <v>99</v>
      </c>
    </row>
    <row r="112" spans="1:9" ht="15" customHeight="1" x14ac:dyDescent="0.25">
      <c r="A112" s="13">
        <v>45526</v>
      </c>
      <c r="B112" s="14" t="s">
        <v>124</v>
      </c>
      <c r="C112" s="15" t="s">
        <v>16</v>
      </c>
      <c r="D112" s="16">
        <v>271415.2</v>
      </c>
      <c r="E112" s="17"/>
      <c r="F112" s="11">
        <f t="shared" si="4"/>
        <v>1656296.2600000002</v>
      </c>
      <c r="G112" s="18" t="s">
        <v>17</v>
      </c>
    </row>
    <row r="113" spans="1:9" ht="15" customHeight="1" x14ac:dyDescent="0.25">
      <c r="A113" s="6">
        <v>45526</v>
      </c>
      <c r="B113" s="7" t="s">
        <v>125</v>
      </c>
      <c r="C113" s="19" t="s">
        <v>23</v>
      </c>
      <c r="D113" s="22"/>
      <c r="E113" s="10">
        <v>276404.8</v>
      </c>
      <c r="F113" s="11">
        <f t="shared" si="4"/>
        <v>1379891.4600000002</v>
      </c>
      <c r="G113" s="12" t="s">
        <v>24</v>
      </c>
      <c r="I113" t="s">
        <v>261</v>
      </c>
    </row>
    <row r="114" spans="1:9" ht="15" customHeight="1" x14ac:dyDescent="0.25">
      <c r="A114" s="13">
        <v>45531</v>
      </c>
      <c r="B114" s="14" t="s">
        <v>126</v>
      </c>
      <c r="C114" s="15" t="s">
        <v>16</v>
      </c>
      <c r="D114" s="16">
        <v>75936</v>
      </c>
      <c r="E114" s="17"/>
      <c r="F114" s="11">
        <f t="shared" si="4"/>
        <v>1455827.4600000002</v>
      </c>
      <c r="G114" s="18" t="s">
        <v>17</v>
      </c>
    </row>
    <row r="115" spans="1:9" ht="15" customHeight="1" x14ac:dyDescent="0.25">
      <c r="A115" s="6">
        <v>45547</v>
      </c>
      <c r="B115" s="7" t="s">
        <v>127</v>
      </c>
      <c r="C115" s="19" t="s">
        <v>23</v>
      </c>
      <c r="D115" s="22"/>
      <c r="E115" s="10">
        <v>167035</v>
      </c>
      <c r="F115" s="11">
        <f t="shared" si="4"/>
        <v>1288792.4600000002</v>
      </c>
      <c r="G115" s="12" t="s">
        <v>54</v>
      </c>
    </row>
    <row r="116" spans="1:9" ht="15" customHeight="1" x14ac:dyDescent="0.25">
      <c r="A116" s="13">
        <v>45556</v>
      </c>
      <c r="B116" s="14" t="s">
        <v>128</v>
      </c>
      <c r="C116" s="19" t="s">
        <v>23</v>
      </c>
      <c r="D116" s="20"/>
      <c r="E116" s="17">
        <v>25287.119999999999</v>
      </c>
      <c r="F116" s="11">
        <f t="shared" si="4"/>
        <v>1263505.3400000001</v>
      </c>
      <c r="G116" s="18" t="s">
        <v>54</v>
      </c>
      <c r="I116" t="s">
        <v>261</v>
      </c>
    </row>
    <row r="117" spans="1:9" ht="15" customHeight="1" x14ac:dyDescent="0.25">
      <c r="A117" s="6">
        <v>45560</v>
      </c>
      <c r="B117" s="7" t="s">
        <v>129</v>
      </c>
      <c r="C117" s="8" t="s">
        <v>16</v>
      </c>
      <c r="D117" s="9">
        <v>747761.28</v>
      </c>
      <c r="E117" s="10"/>
      <c r="F117" s="11">
        <f t="shared" si="4"/>
        <v>2011266.62</v>
      </c>
      <c r="G117" s="12" t="s">
        <v>17</v>
      </c>
    </row>
    <row r="118" spans="1:9" ht="15" customHeight="1" x14ac:dyDescent="0.25">
      <c r="A118" s="13">
        <v>45563</v>
      </c>
      <c r="B118" s="14" t="s">
        <v>130</v>
      </c>
      <c r="C118" s="15" t="s">
        <v>16</v>
      </c>
      <c r="D118" s="16">
        <v>42274.400000000001</v>
      </c>
      <c r="E118" s="17"/>
      <c r="F118" s="11">
        <f t="shared" si="4"/>
        <v>2053541.02</v>
      </c>
      <c r="G118" s="18" t="s">
        <v>17</v>
      </c>
    </row>
    <row r="119" spans="1:9" ht="15" customHeight="1" x14ac:dyDescent="0.25">
      <c r="A119" s="6">
        <v>45572</v>
      </c>
      <c r="B119" s="7" t="s">
        <v>131</v>
      </c>
      <c r="C119" s="21" t="s">
        <v>30</v>
      </c>
      <c r="D119" s="9"/>
      <c r="E119" s="10">
        <v>700000</v>
      </c>
      <c r="F119" s="11">
        <f t="shared" ref="F119:F123" si="5">F118+D119-E119</f>
        <v>1353541.02</v>
      </c>
      <c r="G119" s="12" t="s">
        <v>31</v>
      </c>
    </row>
    <row r="120" spans="1:9" ht="15" customHeight="1" x14ac:dyDescent="0.25">
      <c r="A120" s="13">
        <v>45594</v>
      </c>
      <c r="B120" s="14" t="s">
        <v>132</v>
      </c>
      <c r="C120" s="21" t="s">
        <v>30</v>
      </c>
      <c r="D120" s="16"/>
      <c r="E120" s="17">
        <v>700000</v>
      </c>
      <c r="F120" s="11">
        <f t="shared" si="5"/>
        <v>653541.02</v>
      </c>
      <c r="G120" s="18" t="s">
        <v>99</v>
      </c>
    </row>
    <row r="121" spans="1:9" ht="15" customHeight="1" x14ac:dyDescent="0.25">
      <c r="A121" s="6">
        <v>45604</v>
      </c>
      <c r="B121" s="7" t="s">
        <v>133</v>
      </c>
      <c r="C121" s="8" t="s">
        <v>16</v>
      </c>
      <c r="D121" s="9">
        <v>215613.74</v>
      </c>
      <c r="E121" s="10"/>
      <c r="F121" s="11">
        <f t="shared" si="5"/>
        <v>869154.76</v>
      </c>
      <c r="G121" s="12" t="s">
        <v>134</v>
      </c>
    </row>
    <row r="122" spans="1:9" ht="15" customHeight="1" x14ac:dyDescent="0.25">
      <c r="A122" s="13">
        <v>45610</v>
      </c>
      <c r="B122" s="14" t="s">
        <v>135</v>
      </c>
      <c r="C122" s="15" t="s">
        <v>16</v>
      </c>
      <c r="D122" s="16">
        <v>274415.68</v>
      </c>
      <c r="E122" s="17"/>
      <c r="F122" s="11">
        <f t="shared" si="5"/>
        <v>1143570.44</v>
      </c>
      <c r="G122" s="18" t="s">
        <v>134</v>
      </c>
    </row>
    <row r="123" spans="1:9" ht="15" customHeight="1" x14ac:dyDescent="0.25">
      <c r="A123" s="6">
        <v>45610</v>
      </c>
      <c r="B123" s="7" t="s">
        <v>136</v>
      </c>
      <c r="C123" s="8" t="s">
        <v>16</v>
      </c>
      <c r="D123" s="9">
        <v>107968</v>
      </c>
      <c r="E123" s="10"/>
      <c r="F123" s="11">
        <f t="shared" si="5"/>
        <v>1251538.44</v>
      </c>
      <c r="G123" s="12" t="s">
        <v>134</v>
      </c>
    </row>
    <row r="124" spans="1:9" ht="15" customHeight="1" x14ac:dyDescent="0.25">
      <c r="A124" s="13">
        <v>45614</v>
      </c>
      <c r="B124" s="14" t="s">
        <v>137</v>
      </c>
      <c r="C124" s="21" t="s">
        <v>30</v>
      </c>
      <c r="D124" s="16"/>
      <c r="E124" s="17">
        <v>300000</v>
      </c>
      <c r="F124" s="11">
        <f t="shared" si="4"/>
        <v>951538.44</v>
      </c>
      <c r="G124" s="18" t="s">
        <v>31</v>
      </c>
    </row>
    <row r="125" spans="1:9" ht="15" customHeight="1" x14ac:dyDescent="0.25">
      <c r="A125" s="6">
        <v>45639</v>
      </c>
      <c r="B125" s="7" t="s">
        <v>138</v>
      </c>
      <c r="C125" s="21" t="s">
        <v>30</v>
      </c>
      <c r="D125" s="9"/>
      <c r="E125" s="10">
        <v>300000</v>
      </c>
      <c r="F125" s="11">
        <f t="shared" si="4"/>
        <v>651538.43999999994</v>
      </c>
      <c r="G125" s="12" t="s">
        <v>99</v>
      </c>
    </row>
    <row r="126" spans="1:9" ht="15" customHeight="1" x14ac:dyDescent="0.25">
      <c r="A126" s="13">
        <v>45652</v>
      </c>
      <c r="B126" s="14" t="s">
        <v>139</v>
      </c>
      <c r="C126" s="15" t="s">
        <v>16</v>
      </c>
      <c r="D126" s="16">
        <v>224448</v>
      </c>
      <c r="E126" s="17"/>
      <c r="F126" s="11">
        <f t="shared" si="4"/>
        <v>875986.44</v>
      </c>
      <c r="G126" s="18" t="s">
        <v>134</v>
      </c>
    </row>
    <row r="127" spans="1:9" ht="15" customHeight="1" x14ac:dyDescent="0.25">
      <c r="A127" s="6">
        <v>45652</v>
      </c>
      <c r="B127" s="7" t="s">
        <v>140</v>
      </c>
      <c r="C127" s="8" t="s">
        <v>16</v>
      </c>
      <c r="D127" s="9">
        <v>722629.6</v>
      </c>
      <c r="E127" s="10"/>
      <c r="F127" s="11">
        <f t="shared" si="4"/>
        <v>1598616.04</v>
      </c>
      <c r="G127" s="12" t="s">
        <v>134</v>
      </c>
    </row>
    <row r="128" spans="1:9" ht="15" customHeight="1" x14ac:dyDescent="0.25">
      <c r="A128" s="13">
        <v>45652</v>
      </c>
      <c r="B128" s="14" t="s">
        <v>141</v>
      </c>
      <c r="C128" s="15" t="s">
        <v>16</v>
      </c>
      <c r="D128" s="16">
        <v>103315.8</v>
      </c>
      <c r="E128" s="17"/>
      <c r="F128" s="11">
        <f t="shared" si="4"/>
        <v>1701931.84</v>
      </c>
      <c r="G128" s="18" t="s">
        <v>134</v>
      </c>
    </row>
    <row r="129" spans="1:9" ht="15" customHeight="1" x14ac:dyDescent="0.25">
      <c r="A129" s="6">
        <v>45654</v>
      </c>
      <c r="B129" s="7" t="s">
        <v>142</v>
      </c>
      <c r="C129" s="8" t="s">
        <v>16</v>
      </c>
      <c r="D129" s="9">
        <v>131353.60000000001</v>
      </c>
      <c r="E129" s="10"/>
      <c r="F129" s="11">
        <f t="shared" si="4"/>
        <v>1833285.4400000002</v>
      </c>
      <c r="G129" s="12" t="s">
        <v>134</v>
      </c>
    </row>
    <row r="130" spans="1:9" ht="15" customHeight="1" x14ac:dyDescent="0.25">
      <c r="A130" s="13">
        <v>45675</v>
      </c>
      <c r="B130" s="14" t="s">
        <v>143</v>
      </c>
      <c r="C130" s="21" t="s">
        <v>30</v>
      </c>
      <c r="D130" s="16"/>
      <c r="E130" s="17">
        <v>100000</v>
      </c>
      <c r="F130" s="11">
        <f t="shared" si="4"/>
        <v>1733285.4400000002</v>
      </c>
      <c r="G130" s="18" t="s">
        <v>31</v>
      </c>
    </row>
    <row r="131" spans="1:9" ht="15" customHeight="1" x14ac:dyDescent="0.25">
      <c r="A131" s="6">
        <v>45677</v>
      </c>
      <c r="B131" s="7" t="s">
        <v>144</v>
      </c>
      <c r="C131" s="8" t="s">
        <v>16</v>
      </c>
      <c r="D131" s="9">
        <v>431327.68</v>
      </c>
      <c r="E131" s="10"/>
      <c r="F131" s="11">
        <f t="shared" si="4"/>
        <v>2164613.1200000001</v>
      </c>
      <c r="G131" s="12" t="s">
        <v>134</v>
      </c>
    </row>
    <row r="132" spans="1:9" ht="15" customHeight="1" x14ac:dyDescent="0.25">
      <c r="A132" s="13">
        <v>45677</v>
      </c>
      <c r="B132" s="14" t="s">
        <v>145</v>
      </c>
      <c r="C132" s="15" t="s">
        <v>16</v>
      </c>
      <c r="D132" s="16">
        <v>551813.92000000004</v>
      </c>
      <c r="E132" s="17"/>
      <c r="F132" s="11">
        <f t="shared" si="4"/>
        <v>2716427.04</v>
      </c>
      <c r="G132" s="18" t="s">
        <v>134</v>
      </c>
    </row>
    <row r="133" spans="1:9" ht="15" customHeight="1" x14ac:dyDescent="0.25">
      <c r="A133" s="6">
        <v>45677</v>
      </c>
      <c r="B133" s="7" t="s">
        <v>146</v>
      </c>
      <c r="C133" s="8" t="s">
        <v>16</v>
      </c>
      <c r="D133" s="9">
        <v>58240</v>
      </c>
      <c r="E133" s="10"/>
      <c r="F133" s="11">
        <f t="shared" si="4"/>
        <v>2774667.04</v>
      </c>
      <c r="G133" s="12" t="s">
        <v>134</v>
      </c>
    </row>
    <row r="134" spans="1:9" ht="15" customHeight="1" x14ac:dyDescent="0.25">
      <c r="A134" s="13">
        <v>45694</v>
      </c>
      <c r="B134" s="14" t="s">
        <v>147</v>
      </c>
      <c r="C134" s="21" t="s">
        <v>30</v>
      </c>
      <c r="D134" s="16"/>
      <c r="E134" s="17">
        <v>1000000</v>
      </c>
      <c r="F134" s="11">
        <f t="shared" si="4"/>
        <v>1774667.04</v>
      </c>
      <c r="G134" s="18" t="s">
        <v>99</v>
      </c>
    </row>
    <row r="135" spans="1:9" ht="15" customHeight="1" x14ac:dyDescent="0.25">
      <c r="A135" s="13">
        <v>45714</v>
      </c>
      <c r="B135" s="14" t="s">
        <v>149</v>
      </c>
      <c r="C135" s="21" t="s">
        <v>30</v>
      </c>
      <c r="D135" s="16"/>
      <c r="E135" s="17">
        <v>1000000</v>
      </c>
      <c r="F135" s="11">
        <f t="shared" si="4"/>
        <v>774667.04</v>
      </c>
      <c r="G135" s="18" t="s">
        <v>31</v>
      </c>
    </row>
    <row r="136" spans="1:9" ht="15" customHeight="1" x14ac:dyDescent="0.25">
      <c r="A136" s="6">
        <v>45724</v>
      </c>
      <c r="B136" s="7" t="s">
        <v>150</v>
      </c>
      <c r="C136" s="21" t="s">
        <v>30</v>
      </c>
      <c r="D136" s="9"/>
      <c r="E136" s="10">
        <v>500000</v>
      </c>
      <c r="F136" s="11">
        <f t="shared" si="4"/>
        <v>274667.04000000004</v>
      </c>
      <c r="G136" s="12" t="s">
        <v>99</v>
      </c>
    </row>
    <row r="137" spans="1:9" ht="15" customHeight="1" x14ac:dyDescent="0.25">
      <c r="A137" s="13">
        <v>45737</v>
      </c>
      <c r="B137" s="14" t="s">
        <v>151</v>
      </c>
      <c r="C137" s="15" t="s">
        <v>16</v>
      </c>
      <c r="D137" s="16">
        <v>759713.92</v>
      </c>
      <c r="E137" s="17"/>
      <c r="F137" s="11">
        <f t="shared" si="4"/>
        <v>1034380.9600000001</v>
      </c>
      <c r="G137" s="18" t="s">
        <v>134</v>
      </c>
      <c r="I137" t="s">
        <v>261</v>
      </c>
    </row>
    <row r="138" spans="1:9" ht="15" customHeight="1" x14ac:dyDescent="0.25">
      <c r="A138" s="6">
        <v>45738</v>
      </c>
      <c r="B138" s="7" t="s">
        <v>152</v>
      </c>
      <c r="C138" s="19" t="s">
        <v>23</v>
      </c>
      <c r="D138" s="22"/>
      <c r="E138" s="10">
        <v>759713.92</v>
      </c>
      <c r="F138" s="11">
        <f t="shared" si="4"/>
        <v>274667.04000000004</v>
      </c>
      <c r="G138" s="12" t="s">
        <v>24</v>
      </c>
      <c r="I138" t="s">
        <v>261</v>
      </c>
    </row>
    <row r="139" spans="1:9" ht="15" customHeight="1" x14ac:dyDescent="0.25">
      <c r="A139" s="13">
        <v>45740</v>
      </c>
      <c r="B139" s="14" t="s">
        <v>153</v>
      </c>
      <c r="C139" s="15" t="s">
        <v>16</v>
      </c>
      <c r="D139" s="16">
        <v>639296</v>
      </c>
      <c r="E139" s="17"/>
      <c r="F139" s="11">
        <f t="shared" si="4"/>
        <v>913963.04</v>
      </c>
      <c r="G139" s="18" t="s">
        <v>134</v>
      </c>
    </row>
    <row r="140" spans="1:9" ht="15" customHeight="1" x14ac:dyDescent="0.25">
      <c r="A140" s="6">
        <v>45752</v>
      </c>
      <c r="B140" s="7" t="s">
        <v>154</v>
      </c>
      <c r="C140" s="8" t="s">
        <v>16</v>
      </c>
      <c r="D140" s="9">
        <v>175154.56</v>
      </c>
      <c r="E140" s="10"/>
      <c r="F140" s="11">
        <f t="shared" si="4"/>
        <v>1089117.6000000001</v>
      </c>
      <c r="G140" s="12" t="s">
        <v>134</v>
      </c>
    </row>
    <row r="141" spans="1:9" ht="15" customHeight="1" x14ac:dyDescent="0.25">
      <c r="A141" s="13">
        <v>45755</v>
      </c>
      <c r="B141" s="14" t="s">
        <v>155</v>
      </c>
      <c r="C141" s="15" t="s">
        <v>16</v>
      </c>
      <c r="D141" s="16">
        <v>420201.6</v>
      </c>
      <c r="E141" s="17"/>
      <c r="F141" s="11">
        <f t="shared" si="4"/>
        <v>1509319.2000000002</v>
      </c>
      <c r="G141" s="18" t="s">
        <v>134</v>
      </c>
    </row>
    <row r="142" spans="1:9" ht="15" customHeight="1" x14ac:dyDescent="0.25">
      <c r="A142" s="13">
        <v>45772</v>
      </c>
      <c r="B142" s="14" t="s">
        <v>156</v>
      </c>
      <c r="C142" s="15" t="s">
        <v>16</v>
      </c>
      <c r="D142" s="16">
        <v>567960.96</v>
      </c>
      <c r="E142" s="17"/>
      <c r="F142" s="11">
        <f t="shared" ref="F142:F144" si="6">F141+D142-E142</f>
        <v>2077280.1600000001</v>
      </c>
      <c r="G142" s="18" t="s">
        <v>134</v>
      </c>
    </row>
    <row r="143" spans="1:9" ht="15" customHeight="1" x14ac:dyDescent="0.25">
      <c r="A143" s="6">
        <v>45777</v>
      </c>
      <c r="B143" s="7" t="s">
        <v>157</v>
      </c>
      <c r="C143" s="8" t="s">
        <v>16</v>
      </c>
      <c r="D143" s="9">
        <v>12656</v>
      </c>
      <c r="E143" s="10"/>
      <c r="F143" s="11">
        <f t="shared" si="6"/>
        <v>2089936.1600000001</v>
      </c>
      <c r="G143" s="12" t="s">
        <v>134</v>
      </c>
    </row>
    <row r="144" spans="1:9" ht="15" customHeight="1" x14ac:dyDescent="0.25">
      <c r="A144" s="13">
        <v>45777</v>
      </c>
      <c r="B144" s="14" t="s">
        <v>158</v>
      </c>
      <c r="C144" s="15" t="s">
        <v>16</v>
      </c>
      <c r="D144" s="16">
        <v>10302.879999999999</v>
      </c>
      <c r="E144" s="17"/>
      <c r="F144" s="11">
        <f t="shared" si="6"/>
        <v>2100239.04</v>
      </c>
      <c r="G144" s="18" t="s">
        <v>134</v>
      </c>
    </row>
    <row r="145" spans="1:9" ht="15" customHeight="1" x14ac:dyDescent="0.25">
      <c r="A145" s="13">
        <v>46149</v>
      </c>
      <c r="B145" s="42" t="s">
        <v>168</v>
      </c>
      <c r="C145" s="43" t="s">
        <v>30</v>
      </c>
      <c r="D145" s="16"/>
      <c r="E145" s="17">
        <v>700000</v>
      </c>
      <c r="F145" s="11">
        <f t="shared" ref="F145:F204" si="7">F144+D145-E145</f>
        <v>1400239.04</v>
      </c>
      <c r="G145" s="18" t="s">
        <v>99</v>
      </c>
    </row>
    <row r="146" spans="1:9" ht="15" customHeight="1" x14ac:dyDescent="0.25">
      <c r="A146" s="6">
        <v>45789</v>
      </c>
      <c r="B146" s="7" t="s">
        <v>159</v>
      </c>
      <c r="C146" s="23" t="s">
        <v>81</v>
      </c>
      <c r="D146" s="9">
        <v>14612</v>
      </c>
      <c r="E146" s="10"/>
      <c r="F146" s="11">
        <f t="shared" si="7"/>
        <v>1414851.04</v>
      </c>
      <c r="G146" s="12" t="s">
        <v>82</v>
      </c>
    </row>
    <row r="147" spans="1:9" ht="15" customHeight="1" x14ac:dyDescent="0.25">
      <c r="A147" s="13">
        <v>45800</v>
      </c>
      <c r="B147" s="14" t="s">
        <v>160</v>
      </c>
      <c r="C147" s="15" t="s">
        <v>16</v>
      </c>
      <c r="D147" s="16">
        <v>417095.84</v>
      </c>
      <c r="E147" s="17"/>
      <c r="F147" s="11">
        <f t="shared" si="7"/>
        <v>1831946.8800000001</v>
      </c>
      <c r="G147" s="18" t="s">
        <v>134</v>
      </c>
    </row>
    <row r="148" spans="1:9" ht="15" customHeight="1" x14ac:dyDescent="0.25">
      <c r="A148" s="6">
        <v>45804</v>
      </c>
      <c r="B148" s="7" t="s">
        <v>161</v>
      </c>
      <c r="C148" s="8" t="s">
        <v>16</v>
      </c>
      <c r="D148" s="9">
        <v>330400</v>
      </c>
      <c r="E148" s="10"/>
      <c r="F148" s="11">
        <f t="shared" si="7"/>
        <v>2162346.88</v>
      </c>
      <c r="G148" s="12" t="s">
        <v>134</v>
      </c>
    </row>
    <row r="149" spans="1:9" ht="15" customHeight="1" x14ac:dyDescent="0.25">
      <c r="A149" s="6">
        <v>45810</v>
      </c>
      <c r="B149" t="s">
        <v>162</v>
      </c>
      <c r="C149" s="46" t="s">
        <v>30</v>
      </c>
      <c r="D149" s="9"/>
      <c r="E149" s="10">
        <v>500000</v>
      </c>
      <c r="F149" s="11">
        <f t="shared" si="7"/>
        <v>1662346.88</v>
      </c>
      <c r="G149" s="18" t="s">
        <v>31</v>
      </c>
    </row>
    <row r="150" spans="1:9" ht="15" customHeight="1" x14ac:dyDescent="0.25">
      <c r="A150" s="13">
        <v>45822</v>
      </c>
      <c r="B150" s="14" t="s">
        <v>163</v>
      </c>
      <c r="C150" s="15" t="s">
        <v>16</v>
      </c>
      <c r="D150" s="16">
        <v>33933.760000000002</v>
      </c>
      <c r="E150" s="17"/>
      <c r="F150" s="11">
        <f t="shared" si="7"/>
        <v>1696280.64</v>
      </c>
      <c r="G150" s="18" t="s">
        <v>134</v>
      </c>
    </row>
    <row r="151" spans="1:9" ht="15" customHeight="1" thickBot="1" x14ac:dyDescent="0.3">
      <c r="A151" s="6">
        <v>45824</v>
      </c>
      <c r="B151" s="7" t="s">
        <v>164</v>
      </c>
      <c r="C151" s="8" t="s">
        <v>16</v>
      </c>
      <c r="D151" s="9">
        <v>198240</v>
      </c>
      <c r="E151" s="10"/>
      <c r="F151" s="11">
        <f t="shared" si="7"/>
        <v>1894520.64</v>
      </c>
      <c r="G151" s="12" t="s">
        <v>134</v>
      </c>
    </row>
    <row r="152" spans="1:9" ht="15" customHeight="1" thickBot="1" x14ac:dyDescent="0.3">
      <c r="A152" s="6">
        <v>45824</v>
      </c>
      <c r="B152" s="47" t="s">
        <v>165</v>
      </c>
      <c r="C152" s="46" t="s">
        <v>30</v>
      </c>
      <c r="D152" s="9"/>
      <c r="E152" s="10">
        <v>1000000</v>
      </c>
      <c r="F152" s="11">
        <f t="shared" ref="F152:F162" si="8">F151+D152-E152</f>
        <v>894520.6399999999</v>
      </c>
      <c r="G152" s="12" t="s">
        <v>99</v>
      </c>
    </row>
    <row r="153" spans="1:9" ht="15" customHeight="1" x14ac:dyDescent="0.25">
      <c r="A153" s="6">
        <v>45840</v>
      </c>
      <c r="B153" s="7" t="s">
        <v>166</v>
      </c>
      <c r="C153" s="8" t="s">
        <v>16</v>
      </c>
      <c r="D153" s="9">
        <v>516643.68</v>
      </c>
      <c r="E153" s="10"/>
      <c r="F153" s="11">
        <f t="shared" si="8"/>
        <v>1411164.3199999998</v>
      </c>
      <c r="G153" s="12" t="s">
        <v>134</v>
      </c>
    </row>
    <row r="154" spans="1:9" ht="15" customHeight="1" x14ac:dyDescent="0.25">
      <c r="A154" s="13">
        <v>45842</v>
      </c>
      <c r="B154" s="14" t="s">
        <v>167</v>
      </c>
      <c r="C154" s="19" t="s">
        <v>23</v>
      </c>
      <c r="D154" s="20"/>
      <c r="E154" s="17">
        <v>451883.23</v>
      </c>
      <c r="F154" s="11">
        <f t="shared" si="8"/>
        <v>959281.08999999985</v>
      </c>
      <c r="G154" s="18" t="s">
        <v>54</v>
      </c>
      <c r="I154" t="s">
        <v>261</v>
      </c>
    </row>
    <row r="155" spans="1:9" ht="15" customHeight="1" x14ac:dyDescent="0.25">
      <c r="A155" s="13">
        <v>45864</v>
      </c>
      <c r="B155" s="14" t="s">
        <v>169</v>
      </c>
      <c r="C155" s="15" t="s">
        <v>16</v>
      </c>
      <c r="D155" s="16">
        <v>132406.39999999999</v>
      </c>
      <c r="E155" s="17"/>
      <c r="F155" s="11">
        <f t="shared" si="8"/>
        <v>1091687.4899999998</v>
      </c>
      <c r="G155" s="18" t="s">
        <v>134</v>
      </c>
    </row>
    <row r="156" spans="1:9" ht="15" customHeight="1" x14ac:dyDescent="0.25">
      <c r="A156" s="6">
        <v>45866</v>
      </c>
      <c r="B156" s="7" t="s">
        <v>170</v>
      </c>
      <c r="C156" s="8" t="s">
        <v>16</v>
      </c>
      <c r="D156" s="9">
        <v>66080.45</v>
      </c>
      <c r="E156" s="10"/>
      <c r="F156" s="11">
        <f t="shared" si="8"/>
        <v>1157767.9399999997</v>
      </c>
      <c r="G156" s="12" t="s">
        <v>134</v>
      </c>
    </row>
    <row r="157" spans="1:9" ht="15" customHeight="1" x14ac:dyDescent="0.25">
      <c r="A157" s="13">
        <v>45867</v>
      </c>
      <c r="B157" s="14" t="s">
        <v>171</v>
      </c>
      <c r="C157" s="15" t="s">
        <v>16</v>
      </c>
      <c r="D157" s="16">
        <v>63280</v>
      </c>
      <c r="E157" s="17"/>
      <c r="F157" s="11">
        <f t="shared" si="8"/>
        <v>1221047.9399999997</v>
      </c>
      <c r="G157" s="18" t="s">
        <v>134</v>
      </c>
    </row>
    <row r="158" spans="1:9" ht="15" customHeight="1" x14ac:dyDescent="0.25">
      <c r="A158" s="6">
        <v>45868</v>
      </c>
      <c r="B158" s="7" t="s">
        <v>172</v>
      </c>
      <c r="C158" s="8" t="s">
        <v>16</v>
      </c>
      <c r="D158" s="9">
        <v>161443.51999999999</v>
      </c>
      <c r="E158" s="10"/>
      <c r="F158" s="11">
        <f t="shared" si="8"/>
        <v>1382491.4599999997</v>
      </c>
      <c r="G158" s="12" t="s">
        <v>134</v>
      </c>
    </row>
    <row r="159" spans="1:9" ht="15" customHeight="1" x14ac:dyDescent="0.25">
      <c r="A159" s="13">
        <v>45891</v>
      </c>
      <c r="B159" s="14" t="s">
        <v>173</v>
      </c>
      <c r="C159" s="15" t="s">
        <v>16</v>
      </c>
      <c r="D159" s="16">
        <v>814335.2</v>
      </c>
      <c r="E159" s="17"/>
      <c r="F159" s="11">
        <f t="shared" si="8"/>
        <v>2196826.6599999997</v>
      </c>
      <c r="G159" s="18" t="s">
        <v>134</v>
      </c>
    </row>
    <row r="160" spans="1:9" ht="15" customHeight="1" x14ac:dyDescent="0.25">
      <c r="A160" s="6">
        <v>45892</v>
      </c>
      <c r="B160" s="7" t="s">
        <v>174</v>
      </c>
      <c r="C160" s="8" t="s">
        <v>16</v>
      </c>
      <c r="D160" s="9">
        <v>157360</v>
      </c>
      <c r="E160" s="10"/>
      <c r="F160" s="11">
        <f t="shared" si="8"/>
        <v>2354186.6599999997</v>
      </c>
      <c r="G160" s="12" t="s">
        <v>134</v>
      </c>
    </row>
    <row r="161" spans="1:9" ht="15" customHeight="1" x14ac:dyDescent="0.25">
      <c r="A161" s="13">
        <v>45894</v>
      </c>
      <c r="B161" s="14" t="s">
        <v>175</v>
      </c>
      <c r="C161" s="15" t="s">
        <v>16</v>
      </c>
      <c r="D161" s="16">
        <v>811440</v>
      </c>
      <c r="E161" s="17"/>
      <c r="F161" s="11">
        <f t="shared" si="8"/>
        <v>3165626.6599999997</v>
      </c>
      <c r="G161" s="18" t="s">
        <v>134</v>
      </c>
    </row>
    <row r="162" spans="1:9" ht="15" customHeight="1" x14ac:dyDescent="0.25">
      <c r="A162" s="6">
        <v>45904</v>
      </c>
      <c r="B162" s="7" t="s">
        <v>176</v>
      </c>
      <c r="C162" s="8" t="s">
        <v>16</v>
      </c>
      <c r="D162" s="9">
        <v>25312</v>
      </c>
      <c r="E162" s="10"/>
      <c r="F162" s="11">
        <f t="shared" si="8"/>
        <v>3190938.6599999997</v>
      </c>
      <c r="G162" s="12" t="s">
        <v>134</v>
      </c>
    </row>
    <row r="163" spans="1:9" ht="15" customHeight="1" thickBot="1" x14ac:dyDescent="0.3">
      <c r="A163" s="13">
        <v>45917</v>
      </c>
      <c r="B163" s="14" t="s">
        <v>177</v>
      </c>
      <c r="C163" s="21" t="s">
        <v>30</v>
      </c>
      <c r="D163" s="16"/>
      <c r="E163" s="17">
        <v>500000</v>
      </c>
      <c r="F163" s="11">
        <f t="shared" si="7"/>
        <v>2690938.6599999997</v>
      </c>
      <c r="G163" s="12" t="s">
        <v>99</v>
      </c>
    </row>
    <row r="164" spans="1:9" ht="15" customHeight="1" thickBot="1" x14ac:dyDescent="0.3">
      <c r="A164" s="6">
        <v>45932</v>
      </c>
      <c r="B164" s="47" t="s">
        <v>148</v>
      </c>
      <c r="C164" s="45" t="s">
        <v>30</v>
      </c>
      <c r="D164" s="16"/>
      <c r="E164" s="17">
        <v>1000000</v>
      </c>
      <c r="F164" s="11">
        <f t="shared" si="7"/>
        <v>1690938.6599999997</v>
      </c>
      <c r="G164" s="12" t="s">
        <v>99</v>
      </c>
    </row>
    <row r="165" spans="1:9" ht="15" customHeight="1" x14ac:dyDescent="0.25">
      <c r="A165" s="6">
        <v>45938</v>
      </c>
      <c r="B165" s="7" t="s">
        <v>178</v>
      </c>
      <c r="C165" s="8" t="s">
        <v>16</v>
      </c>
      <c r="D165" s="9">
        <v>239715</v>
      </c>
      <c r="E165" s="10"/>
      <c r="F165" s="11">
        <f t="shared" si="7"/>
        <v>1930653.6599999997</v>
      </c>
      <c r="G165" s="12" t="s">
        <v>134</v>
      </c>
    </row>
    <row r="166" spans="1:9" ht="15" customHeight="1" x14ac:dyDescent="0.25">
      <c r="A166" s="13">
        <v>45939</v>
      </c>
      <c r="B166" s="14" t="s">
        <v>179</v>
      </c>
      <c r="C166" s="15" t="s">
        <v>16</v>
      </c>
      <c r="D166" s="16">
        <v>171129</v>
      </c>
      <c r="E166" s="17"/>
      <c r="F166" s="11">
        <f t="shared" si="7"/>
        <v>2101782.6599999997</v>
      </c>
      <c r="G166" s="18" t="s">
        <v>134</v>
      </c>
    </row>
    <row r="167" spans="1:9" ht="15" customHeight="1" x14ac:dyDescent="0.25">
      <c r="A167" s="6">
        <v>45944</v>
      </c>
      <c r="B167" s="7" t="s">
        <v>180</v>
      </c>
      <c r="C167" s="8" t="s">
        <v>16</v>
      </c>
      <c r="D167" s="9">
        <v>161280</v>
      </c>
      <c r="E167" s="10"/>
      <c r="F167" s="11">
        <f t="shared" si="7"/>
        <v>2263062.6599999997</v>
      </c>
      <c r="G167" s="12" t="s">
        <v>134</v>
      </c>
    </row>
    <row r="168" spans="1:9" ht="15" customHeight="1" x14ac:dyDescent="0.25">
      <c r="A168" s="13">
        <v>45945</v>
      </c>
      <c r="B168" s="14" t="s">
        <v>181</v>
      </c>
      <c r="C168" s="15" t="s">
        <v>16</v>
      </c>
      <c r="D168" s="16">
        <v>23730</v>
      </c>
      <c r="E168" s="17"/>
      <c r="F168" s="11">
        <f t="shared" si="7"/>
        <v>2286792.6599999997</v>
      </c>
      <c r="G168" s="18" t="s">
        <v>134</v>
      </c>
    </row>
    <row r="169" spans="1:9" ht="15" customHeight="1" x14ac:dyDescent="0.25">
      <c r="A169" s="6">
        <v>45945</v>
      </c>
      <c r="B169" s="7" t="s">
        <v>182</v>
      </c>
      <c r="C169" s="19" t="s">
        <v>23</v>
      </c>
      <c r="D169" s="22"/>
      <c r="E169" s="10">
        <v>1808</v>
      </c>
      <c r="F169" s="11">
        <f t="shared" si="7"/>
        <v>2284984.6599999997</v>
      </c>
      <c r="G169" s="12" t="s">
        <v>54</v>
      </c>
      <c r="I169" t="s">
        <v>261</v>
      </c>
    </row>
    <row r="170" spans="1:9" ht="15" customHeight="1" x14ac:dyDescent="0.25">
      <c r="A170" s="13">
        <v>45945</v>
      </c>
      <c r="B170" s="14" t="s">
        <v>183</v>
      </c>
      <c r="C170" s="19" t="s">
        <v>23</v>
      </c>
      <c r="D170" s="20"/>
      <c r="E170" s="17">
        <v>36903.120000000003</v>
      </c>
      <c r="F170" s="11">
        <f t="shared" si="7"/>
        <v>2248081.5399999996</v>
      </c>
      <c r="G170" s="18" t="s">
        <v>54</v>
      </c>
      <c r="I170" t="s">
        <v>261</v>
      </c>
    </row>
    <row r="171" spans="1:9" ht="15" customHeight="1" x14ac:dyDescent="0.25">
      <c r="A171" s="6">
        <v>45945</v>
      </c>
      <c r="B171" s="7" t="s">
        <v>184</v>
      </c>
      <c r="C171" s="19" t="s">
        <v>23</v>
      </c>
      <c r="D171" s="22"/>
      <c r="E171" s="10">
        <v>9457.6</v>
      </c>
      <c r="F171" s="11">
        <f t="shared" si="7"/>
        <v>2238623.9399999995</v>
      </c>
      <c r="G171" s="12" t="s">
        <v>54</v>
      </c>
      <c r="I171" t="s">
        <v>261</v>
      </c>
    </row>
    <row r="172" spans="1:9" ht="15" customHeight="1" x14ac:dyDescent="0.25">
      <c r="A172" s="13">
        <v>45945</v>
      </c>
      <c r="B172" s="14" t="s">
        <v>185</v>
      </c>
      <c r="C172" s="19" t="s">
        <v>23</v>
      </c>
      <c r="D172" s="20"/>
      <c r="E172" s="17">
        <v>4720.04</v>
      </c>
      <c r="F172" s="11">
        <f t="shared" si="7"/>
        <v>2233903.8999999994</v>
      </c>
      <c r="G172" s="18" t="s">
        <v>54</v>
      </c>
      <c r="I172" t="s">
        <v>261</v>
      </c>
    </row>
    <row r="173" spans="1:9" ht="15" customHeight="1" x14ac:dyDescent="0.25">
      <c r="A173" s="6">
        <v>45945</v>
      </c>
      <c r="B173" s="7" t="s">
        <v>186</v>
      </c>
      <c r="C173" s="19" t="s">
        <v>23</v>
      </c>
      <c r="D173" s="22"/>
      <c r="E173" s="10">
        <v>4520</v>
      </c>
      <c r="F173" s="11">
        <f t="shared" si="7"/>
        <v>2229383.8999999994</v>
      </c>
      <c r="G173" s="12" t="s">
        <v>54</v>
      </c>
      <c r="I173" t="s">
        <v>261</v>
      </c>
    </row>
    <row r="174" spans="1:9" ht="15" customHeight="1" x14ac:dyDescent="0.25">
      <c r="A174" s="13">
        <v>45945</v>
      </c>
      <c r="B174" s="14" t="s">
        <v>187</v>
      </c>
      <c r="C174" s="19" t="s">
        <v>23</v>
      </c>
      <c r="D174" s="20"/>
      <c r="E174" s="17">
        <v>11531.68</v>
      </c>
      <c r="F174" s="11">
        <f t="shared" si="7"/>
        <v>2217852.2199999993</v>
      </c>
      <c r="G174" s="18" t="s">
        <v>54</v>
      </c>
      <c r="I174" t="s">
        <v>261</v>
      </c>
    </row>
    <row r="175" spans="1:9" ht="15" customHeight="1" x14ac:dyDescent="0.25">
      <c r="A175" s="6">
        <v>45945</v>
      </c>
      <c r="B175" s="7" t="s">
        <v>188</v>
      </c>
      <c r="C175" s="19" t="s">
        <v>23</v>
      </c>
      <c r="D175" s="22"/>
      <c r="E175" s="10">
        <v>58166.8</v>
      </c>
      <c r="F175" s="11">
        <f t="shared" si="7"/>
        <v>2159685.4199999995</v>
      </c>
      <c r="G175" s="12" t="s">
        <v>54</v>
      </c>
      <c r="I175" t="s">
        <v>261</v>
      </c>
    </row>
    <row r="176" spans="1:9" ht="15" customHeight="1" x14ac:dyDescent="0.25">
      <c r="A176" s="13">
        <v>45945</v>
      </c>
      <c r="B176" s="14" t="s">
        <v>189</v>
      </c>
      <c r="C176" s="19" t="s">
        <v>23</v>
      </c>
      <c r="D176" s="20"/>
      <c r="E176" s="17">
        <v>11240</v>
      </c>
      <c r="F176" s="11">
        <f t="shared" si="7"/>
        <v>2148445.4199999995</v>
      </c>
      <c r="G176" s="18" t="s">
        <v>54</v>
      </c>
      <c r="I176" t="s">
        <v>261</v>
      </c>
    </row>
    <row r="177" spans="1:9" ht="15" customHeight="1" x14ac:dyDescent="0.25">
      <c r="A177" s="6">
        <v>45945</v>
      </c>
      <c r="B177" s="7" t="s">
        <v>190</v>
      </c>
      <c r="C177" s="19" t="s">
        <v>23</v>
      </c>
      <c r="D177" s="22"/>
      <c r="E177" s="10">
        <v>57960</v>
      </c>
      <c r="F177" s="11">
        <f t="shared" si="7"/>
        <v>2090485.4199999995</v>
      </c>
      <c r="G177" s="12" t="s">
        <v>54</v>
      </c>
      <c r="I177" t="s">
        <v>261</v>
      </c>
    </row>
    <row r="178" spans="1:9" ht="15" customHeight="1" x14ac:dyDescent="0.25">
      <c r="A178" s="13">
        <v>45945</v>
      </c>
      <c r="B178" s="14" t="s">
        <v>191</v>
      </c>
      <c r="C178" s="19" t="s">
        <v>23</v>
      </c>
      <c r="D178" s="20"/>
      <c r="E178" s="17">
        <v>18264</v>
      </c>
      <c r="F178" s="11">
        <f t="shared" si="7"/>
        <v>2072221.4199999995</v>
      </c>
      <c r="G178" s="18" t="s">
        <v>54</v>
      </c>
      <c r="I178" t="s">
        <v>261</v>
      </c>
    </row>
    <row r="179" spans="1:9" ht="15" customHeight="1" x14ac:dyDescent="0.25">
      <c r="A179" s="6">
        <v>45945</v>
      </c>
      <c r="B179" s="7" t="s">
        <v>192</v>
      </c>
      <c r="C179" s="19" t="s">
        <v>23</v>
      </c>
      <c r="D179" s="22"/>
      <c r="E179" s="10">
        <v>13038</v>
      </c>
      <c r="F179" s="11">
        <f t="shared" si="7"/>
        <v>2059183.4199999995</v>
      </c>
      <c r="G179" s="12" t="s">
        <v>54</v>
      </c>
      <c r="I179" t="s">
        <v>261</v>
      </c>
    </row>
    <row r="180" spans="1:9" ht="15" customHeight="1" x14ac:dyDescent="0.25">
      <c r="A180" s="13">
        <v>45947</v>
      </c>
      <c r="B180" s="14" t="s">
        <v>193</v>
      </c>
      <c r="C180" s="15" t="s">
        <v>16</v>
      </c>
      <c r="D180" s="16">
        <v>1</v>
      </c>
      <c r="E180" s="17"/>
      <c r="F180" s="11">
        <f t="shared" si="7"/>
        <v>2059184.4199999995</v>
      </c>
      <c r="G180" s="18" t="s">
        <v>134</v>
      </c>
    </row>
    <row r="181" spans="1:9" ht="15" customHeight="1" x14ac:dyDescent="0.25">
      <c r="A181" s="44">
        <v>45911</v>
      </c>
      <c r="B181" s="14" t="s">
        <v>195</v>
      </c>
      <c r="C181" s="21" t="s">
        <v>30</v>
      </c>
      <c r="D181" s="16"/>
      <c r="E181" s="17">
        <v>800000</v>
      </c>
      <c r="F181" s="11">
        <f t="shared" si="7"/>
        <v>1259184.4199999995</v>
      </c>
      <c r="G181" s="18" t="s">
        <v>99</v>
      </c>
    </row>
    <row r="182" spans="1:9" ht="15" customHeight="1" x14ac:dyDescent="0.25">
      <c r="A182" s="6">
        <v>45962</v>
      </c>
      <c r="B182" s="7" t="s">
        <v>194</v>
      </c>
      <c r="C182" s="8" t="s">
        <v>16</v>
      </c>
      <c r="D182" s="9">
        <v>919723.11</v>
      </c>
      <c r="E182" s="10"/>
      <c r="F182" s="11">
        <f t="shared" si="7"/>
        <v>2178907.5299999993</v>
      </c>
      <c r="G182" s="12" t="s">
        <v>134</v>
      </c>
    </row>
    <row r="183" spans="1:9" ht="15" customHeight="1" x14ac:dyDescent="0.25">
      <c r="A183" s="6">
        <v>45972</v>
      </c>
      <c r="B183" s="7" t="s">
        <v>196</v>
      </c>
      <c r="C183" s="8" t="s">
        <v>16</v>
      </c>
      <c r="D183" s="9">
        <v>0</v>
      </c>
      <c r="E183" s="10"/>
      <c r="F183" s="11">
        <f t="shared" si="7"/>
        <v>2178907.5299999993</v>
      </c>
      <c r="G183" s="12" t="s">
        <v>134</v>
      </c>
    </row>
    <row r="184" spans="1:9" ht="15" customHeight="1" x14ac:dyDescent="0.25">
      <c r="A184" s="13">
        <v>45972</v>
      </c>
      <c r="B184" s="14" t="s">
        <v>197</v>
      </c>
      <c r="C184" s="15" t="s">
        <v>16</v>
      </c>
      <c r="D184" s="16">
        <v>129150</v>
      </c>
      <c r="E184" s="17"/>
      <c r="F184" s="11">
        <f t="shared" si="7"/>
        <v>2308057.5299999993</v>
      </c>
      <c r="G184" s="18" t="s">
        <v>134</v>
      </c>
    </row>
    <row r="185" spans="1:9" ht="15" customHeight="1" x14ac:dyDescent="0.25">
      <c r="A185" s="6">
        <v>45992</v>
      </c>
      <c r="B185" s="7" t="s">
        <v>198</v>
      </c>
      <c r="C185" s="19" t="s">
        <v>23</v>
      </c>
      <c r="D185" s="22"/>
      <c r="E185" s="10">
        <v>103999.6</v>
      </c>
      <c r="F185" s="11">
        <f t="shared" si="7"/>
        <v>2204057.9299999992</v>
      </c>
      <c r="G185" s="12" t="s">
        <v>24</v>
      </c>
      <c r="I185" t="s">
        <v>261</v>
      </c>
    </row>
    <row r="186" spans="1:9" ht="15" customHeight="1" x14ac:dyDescent="0.25">
      <c r="A186" s="13">
        <v>45992</v>
      </c>
      <c r="B186" s="14" t="s">
        <v>199</v>
      </c>
      <c r="C186" s="19" t="s">
        <v>23</v>
      </c>
      <c r="D186" s="20"/>
      <c r="E186" s="17">
        <v>77999.7</v>
      </c>
      <c r="F186" s="11">
        <f t="shared" si="7"/>
        <v>2126058.2299999991</v>
      </c>
      <c r="G186" s="18" t="s">
        <v>24</v>
      </c>
      <c r="I186" t="s">
        <v>261</v>
      </c>
    </row>
    <row r="187" spans="1:9" ht="15" customHeight="1" x14ac:dyDescent="0.25">
      <c r="A187" s="6">
        <v>46015</v>
      </c>
      <c r="B187" s="7" t="s">
        <v>200</v>
      </c>
      <c r="C187" s="8" t="s">
        <v>16</v>
      </c>
      <c r="D187" s="9">
        <v>352390.08</v>
      </c>
      <c r="E187" s="10"/>
      <c r="F187" s="11">
        <f t="shared" si="7"/>
        <v>2478448.3099999991</v>
      </c>
      <c r="G187" s="12" t="s">
        <v>134</v>
      </c>
    </row>
    <row r="188" spans="1:9" ht="15" customHeight="1" x14ac:dyDescent="0.25">
      <c r="A188" s="13">
        <v>46021</v>
      </c>
      <c r="B188" s="14" t="s">
        <v>201</v>
      </c>
      <c r="C188" s="15" t="s">
        <v>16</v>
      </c>
      <c r="D188" s="16">
        <v>53808.01</v>
      </c>
      <c r="E188" s="17"/>
      <c r="F188" s="11">
        <f t="shared" si="7"/>
        <v>2532256.3199999989</v>
      </c>
      <c r="G188" s="18" t="s">
        <v>134</v>
      </c>
    </row>
    <row r="189" spans="1:9" ht="15" customHeight="1" x14ac:dyDescent="0.25">
      <c r="A189" s="6">
        <v>46021</v>
      </c>
      <c r="B189" s="7" t="s">
        <v>202</v>
      </c>
      <c r="C189" s="19" t="s">
        <v>23</v>
      </c>
      <c r="D189" s="22"/>
      <c r="E189" s="10">
        <v>225000</v>
      </c>
      <c r="F189" s="11">
        <f t="shared" si="7"/>
        <v>2307256.3199999989</v>
      </c>
      <c r="G189" s="12" t="s">
        <v>54</v>
      </c>
      <c r="I189" t="s">
        <v>261</v>
      </c>
    </row>
    <row r="190" spans="1:9" ht="15" customHeight="1" x14ac:dyDescent="0.25">
      <c r="A190" s="13">
        <v>46022</v>
      </c>
      <c r="B190" s="14" t="s">
        <v>203</v>
      </c>
      <c r="C190" s="15" t="s">
        <v>16</v>
      </c>
      <c r="D190" s="16">
        <v>302756.09999999998</v>
      </c>
      <c r="E190" s="17"/>
      <c r="F190" s="11">
        <f t="shared" si="7"/>
        <v>2610012.419999999</v>
      </c>
      <c r="G190" s="18" t="s">
        <v>134</v>
      </c>
    </row>
    <row r="191" spans="1:9" ht="15" customHeight="1" x14ac:dyDescent="0.25">
      <c r="A191" s="13">
        <v>46024</v>
      </c>
      <c r="B191" s="42" t="s">
        <v>208</v>
      </c>
      <c r="C191" s="43" t="s">
        <v>30</v>
      </c>
      <c r="D191" s="16"/>
      <c r="E191" s="17">
        <v>500000</v>
      </c>
      <c r="F191" s="11">
        <f t="shared" si="7"/>
        <v>2110012.419999999</v>
      </c>
      <c r="G191" s="12" t="s">
        <v>99</v>
      </c>
      <c r="I191" s="12"/>
    </row>
    <row r="192" spans="1:9" ht="15" customHeight="1" x14ac:dyDescent="0.25">
      <c r="A192" s="6">
        <v>46051</v>
      </c>
      <c r="B192" s="7" t="s">
        <v>204</v>
      </c>
      <c r="C192" s="21" t="s">
        <v>30</v>
      </c>
      <c r="D192" s="9"/>
      <c r="E192" s="10">
        <v>500000</v>
      </c>
      <c r="F192" s="11">
        <f t="shared" si="7"/>
        <v>1610012.419999999</v>
      </c>
      <c r="G192" s="12" t="s">
        <v>99</v>
      </c>
    </row>
    <row r="193" spans="1:9" ht="15" customHeight="1" x14ac:dyDescent="0.25">
      <c r="A193" s="13">
        <v>46054</v>
      </c>
      <c r="B193" s="14" t="s">
        <v>205</v>
      </c>
      <c r="C193" s="15" t="s">
        <v>16</v>
      </c>
      <c r="D193" s="16">
        <v>29192.02</v>
      </c>
      <c r="E193" s="17"/>
      <c r="F193" s="11">
        <f t="shared" si="7"/>
        <v>1639204.439999999</v>
      </c>
      <c r="G193" s="18" t="s">
        <v>134</v>
      </c>
    </row>
    <row r="194" spans="1:9" ht="15" customHeight="1" x14ac:dyDescent="0.25">
      <c r="A194" s="6">
        <v>46054</v>
      </c>
      <c r="B194" s="7" t="s">
        <v>206</v>
      </c>
      <c r="C194" s="8" t="s">
        <v>16</v>
      </c>
      <c r="D194" s="9">
        <v>400622.06</v>
      </c>
      <c r="E194" s="10"/>
      <c r="F194" s="11">
        <f t="shared" si="7"/>
        <v>2039826.4999999991</v>
      </c>
      <c r="G194" s="12" t="s">
        <v>134</v>
      </c>
    </row>
    <row r="195" spans="1:9" ht="15" customHeight="1" x14ac:dyDescent="0.25">
      <c r="A195" s="13">
        <v>46054</v>
      </c>
      <c r="B195" s="14" t="s">
        <v>207</v>
      </c>
      <c r="C195" s="15" t="s">
        <v>16</v>
      </c>
      <c r="D195" s="16">
        <v>29192.02</v>
      </c>
      <c r="E195" s="17"/>
      <c r="F195" s="11">
        <f t="shared" si="7"/>
        <v>2069018.5199999991</v>
      </c>
      <c r="G195" s="18" t="s">
        <v>134</v>
      </c>
    </row>
    <row r="196" spans="1:9" ht="15" customHeight="1" x14ac:dyDescent="0.25">
      <c r="A196" s="13">
        <v>46055</v>
      </c>
      <c r="B196" s="14" t="s">
        <v>209</v>
      </c>
      <c r="C196" s="19" t="s">
        <v>23</v>
      </c>
      <c r="D196" s="20"/>
      <c r="E196" s="17">
        <v>129150</v>
      </c>
      <c r="F196" s="11">
        <f t="shared" si="7"/>
        <v>1939868.5199999991</v>
      </c>
      <c r="G196" s="18" t="s">
        <v>24</v>
      </c>
    </row>
    <row r="197" spans="1:9" ht="15" customHeight="1" x14ac:dyDescent="0.25">
      <c r="A197" s="6">
        <v>46059</v>
      </c>
      <c r="B197" s="7" t="s">
        <v>210</v>
      </c>
      <c r="C197" s="19" t="s">
        <v>23</v>
      </c>
      <c r="D197" s="22"/>
      <c r="E197" s="10">
        <v>4889</v>
      </c>
      <c r="F197" s="11">
        <f t="shared" si="7"/>
        <v>1934979.5199999991</v>
      </c>
      <c r="G197" s="12" t="s">
        <v>24</v>
      </c>
      <c r="I197" t="s">
        <v>261</v>
      </c>
    </row>
    <row r="198" spans="1:9" ht="15" customHeight="1" x14ac:dyDescent="0.25">
      <c r="A198" s="13">
        <v>46059</v>
      </c>
      <c r="B198" s="14" t="s">
        <v>211</v>
      </c>
      <c r="C198" s="19" t="s">
        <v>23</v>
      </c>
      <c r="D198" s="20"/>
      <c r="E198" s="17">
        <v>92071.16</v>
      </c>
      <c r="F198" s="11">
        <f t="shared" si="7"/>
        <v>1842908.3599999992</v>
      </c>
      <c r="G198" s="18" t="s">
        <v>24</v>
      </c>
      <c r="I198" t="s">
        <v>261</v>
      </c>
    </row>
    <row r="199" spans="1:9" ht="15" customHeight="1" x14ac:dyDescent="0.25">
      <c r="A199" s="6">
        <v>46059</v>
      </c>
      <c r="B199" s="7" t="s">
        <v>212</v>
      </c>
      <c r="C199" s="19" t="s">
        <v>23</v>
      </c>
      <c r="D199" s="22"/>
      <c r="E199" s="10">
        <v>56828.800000000003</v>
      </c>
      <c r="F199" s="11">
        <f t="shared" si="7"/>
        <v>1786079.5599999991</v>
      </c>
      <c r="G199" s="12" t="s">
        <v>24</v>
      </c>
      <c r="I199" t="s">
        <v>261</v>
      </c>
    </row>
    <row r="200" spans="1:9" ht="15" customHeight="1" x14ac:dyDescent="0.25">
      <c r="A200" s="13">
        <v>46060</v>
      </c>
      <c r="B200" s="14" t="s">
        <v>213</v>
      </c>
      <c r="C200" s="19" t="s">
        <v>23</v>
      </c>
      <c r="D200" s="20"/>
      <c r="E200" s="17">
        <v>50895.95</v>
      </c>
      <c r="F200" s="11">
        <f t="shared" si="7"/>
        <v>1735183.6099999992</v>
      </c>
      <c r="G200" s="18" t="s">
        <v>54</v>
      </c>
      <c r="I200" t="s">
        <v>261</v>
      </c>
    </row>
    <row r="201" spans="1:9" ht="15" customHeight="1" x14ac:dyDescent="0.25">
      <c r="A201" s="6">
        <v>46060</v>
      </c>
      <c r="B201" s="7" t="s">
        <v>214</v>
      </c>
      <c r="C201" s="19" t="s">
        <v>23</v>
      </c>
      <c r="D201" s="22"/>
      <c r="E201" s="10">
        <v>9835</v>
      </c>
      <c r="F201" s="11">
        <f t="shared" si="7"/>
        <v>1725348.6099999992</v>
      </c>
      <c r="G201" s="12" t="s">
        <v>54</v>
      </c>
      <c r="I201" t="s">
        <v>261</v>
      </c>
    </row>
    <row r="202" spans="1:9" ht="15" customHeight="1" x14ac:dyDescent="0.25">
      <c r="A202" s="13">
        <v>46060</v>
      </c>
      <c r="B202" s="14" t="s">
        <v>215</v>
      </c>
      <c r="C202" s="19" t="s">
        <v>23</v>
      </c>
      <c r="D202" s="20"/>
      <c r="E202" s="17">
        <v>50715</v>
      </c>
      <c r="F202" s="11">
        <f t="shared" si="7"/>
        <v>1674633.6099999992</v>
      </c>
      <c r="G202" s="18" t="s">
        <v>54</v>
      </c>
      <c r="I202" t="s">
        <v>261</v>
      </c>
    </row>
    <row r="203" spans="1:9" ht="15" customHeight="1" x14ac:dyDescent="0.25">
      <c r="A203" s="6">
        <v>46060</v>
      </c>
      <c r="B203" s="7" t="s">
        <v>216</v>
      </c>
      <c r="C203" s="19" t="s">
        <v>23</v>
      </c>
      <c r="D203" s="22"/>
      <c r="E203" s="10">
        <v>1582</v>
      </c>
      <c r="F203" s="11">
        <f t="shared" si="7"/>
        <v>1673051.6099999992</v>
      </c>
      <c r="G203" s="12" t="s">
        <v>54</v>
      </c>
      <c r="I203" t="s">
        <v>261</v>
      </c>
    </row>
    <row r="204" spans="1:9" ht="15" customHeight="1" x14ac:dyDescent="0.25">
      <c r="A204" s="13">
        <v>46063</v>
      </c>
      <c r="B204" s="14" t="s">
        <v>217</v>
      </c>
      <c r="C204" s="19" t="s">
        <v>23</v>
      </c>
      <c r="D204" s="20"/>
      <c r="E204" s="17">
        <v>64534</v>
      </c>
      <c r="F204" s="11">
        <f t="shared" si="7"/>
        <v>1608517.6099999992</v>
      </c>
      <c r="G204" s="18" t="s">
        <v>54</v>
      </c>
      <c r="I204" t="s">
        <v>261</v>
      </c>
    </row>
    <row r="205" spans="1:9" ht="15" customHeight="1" x14ac:dyDescent="0.25">
      <c r="A205" s="6">
        <v>46063</v>
      </c>
      <c r="B205" s="7" t="s">
        <v>218</v>
      </c>
      <c r="C205" s="19" t="s">
        <v>23</v>
      </c>
      <c r="D205" s="22"/>
      <c r="E205" s="10">
        <v>33600</v>
      </c>
      <c r="F205" s="11">
        <f t="shared" ref="F205" si="9">F204+D205-E205</f>
        <v>1574917.6099999992</v>
      </c>
      <c r="G205" s="12" t="s">
        <v>54</v>
      </c>
      <c r="I205" t="s">
        <v>261</v>
      </c>
    </row>
    <row r="206" spans="1:9" ht="15" customHeight="1" x14ac:dyDescent="0.25">
      <c r="A206" s="13">
        <v>46070</v>
      </c>
      <c r="B206" s="14" t="s">
        <v>219</v>
      </c>
      <c r="C206" s="21" t="s">
        <v>30</v>
      </c>
      <c r="D206" s="16"/>
      <c r="E206" s="17">
        <v>300000</v>
      </c>
      <c r="F206" s="11">
        <f t="shared" ref="F206:F244" si="10">F205+D206-E206</f>
        <v>1274917.6099999992</v>
      </c>
      <c r="G206" s="18" t="s">
        <v>99</v>
      </c>
    </row>
    <row r="207" spans="1:9" ht="15" customHeight="1" x14ac:dyDescent="0.25">
      <c r="A207" s="6">
        <v>46074</v>
      </c>
      <c r="B207" s="7" t="s">
        <v>220</v>
      </c>
      <c r="C207" s="19" t="s">
        <v>23</v>
      </c>
      <c r="D207" s="22"/>
      <c r="E207" s="10">
        <v>400622</v>
      </c>
      <c r="F207" s="11">
        <f t="shared" si="10"/>
        <v>874295.60999999917</v>
      </c>
      <c r="G207" s="12" t="s">
        <v>24</v>
      </c>
    </row>
    <row r="208" spans="1:9" ht="15" customHeight="1" x14ac:dyDescent="0.25">
      <c r="A208" s="13">
        <v>46074</v>
      </c>
      <c r="B208" s="14" t="s">
        <v>221</v>
      </c>
      <c r="C208" s="19" t="s">
        <v>23</v>
      </c>
      <c r="D208" s="20"/>
      <c r="E208" s="17">
        <v>29192.02</v>
      </c>
      <c r="F208" s="11">
        <f t="shared" si="10"/>
        <v>845103.58999999915</v>
      </c>
      <c r="G208" s="18" t="s">
        <v>24</v>
      </c>
    </row>
    <row r="209" spans="1:9" ht="15" customHeight="1" x14ac:dyDescent="0.25">
      <c r="A209" s="6">
        <v>46077</v>
      </c>
      <c r="B209" s="7" t="s">
        <v>222</v>
      </c>
      <c r="C209" s="19" t="s">
        <v>23</v>
      </c>
      <c r="D209" s="22"/>
      <c r="E209" s="10">
        <v>29192.02</v>
      </c>
      <c r="F209" s="11">
        <f t="shared" si="10"/>
        <v>815911.56999999913</v>
      </c>
      <c r="G209" s="12" t="s">
        <v>24</v>
      </c>
    </row>
    <row r="210" spans="1:9" ht="15" customHeight="1" x14ac:dyDescent="0.25">
      <c r="A210" s="13">
        <v>46080</v>
      </c>
      <c r="B210" s="14" t="s">
        <v>223</v>
      </c>
      <c r="C210" s="21" t="s">
        <v>30</v>
      </c>
      <c r="D210" s="16"/>
      <c r="E210" s="17">
        <v>300000</v>
      </c>
      <c r="F210" s="11">
        <f t="shared" si="10"/>
        <v>515911.56999999913</v>
      </c>
      <c r="G210" s="18" t="s">
        <v>99</v>
      </c>
    </row>
    <row r="211" spans="1:9" ht="15" customHeight="1" x14ac:dyDescent="0.25">
      <c r="A211" s="6">
        <v>46093</v>
      </c>
      <c r="B211" s="7" t="s">
        <v>224</v>
      </c>
      <c r="C211" s="8" t="s">
        <v>16</v>
      </c>
      <c r="D211" s="9">
        <v>223760.96</v>
      </c>
      <c r="E211" s="10"/>
      <c r="F211" s="11">
        <f t="shared" si="10"/>
        <v>739672.5299999991</v>
      </c>
      <c r="G211" s="12" t="s">
        <v>134</v>
      </c>
    </row>
    <row r="212" spans="1:9" ht="15" customHeight="1" x14ac:dyDescent="0.25">
      <c r="A212" s="13">
        <v>46093</v>
      </c>
      <c r="B212" s="14" t="s">
        <v>225</v>
      </c>
      <c r="C212" s="15" t="s">
        <v>16</v>
      </c>
      <c r="D212" s="16">
        <v>132284.99</v>
      </c>
      <c r="E212" s="17"/>
      <c r="F212" s="11">
        <f t="shared" si="10"/>
        <v>871957.51999999909</v>
      </c>
      <c r="G212" s="18" t="s">
        <v>134</v>
      </c>
    </row>
    <row r="213" spans="1:9" ht="15" customHeight="1" x14ac:dyDescent="0.25">
      <c r="A213" s="6">
        <v>46099</v>
      </c>
      <c r="B213" s="7" t="s">
        <v>226</v>
      </c>
      <c r="C213" s="8" t="s">
        <v>16</v>
      </c>
      <c r="D213" s="9">
        <v>132289.5</v>
      </c>
      <c r="E213" s="10"/>
      <c r="F213" s="11">
        <f t="shared" si="10"/>
        <v>1004247.0199999991</v>
      </c>
      <c r="G213" s="12" t="s">
        <v>134</v>
      </c>
    </row>
    <row r="214" spans="1:9" ht="15" customHeight="1" x14ac:dyDescent="0.25">
      <c r="A214" s="13">
        <v>46102</v>
      </c>
      <c r="B214" s="14" t="s">
        <v>227</v>
      </c>
      <c r="C214" s="15" t="s">
        <v>16</v>
      </c>
      <c r="D214" s="16">
        <v>14280</v>
      </c>
      <c r="E214" s="17"/>
      <c r="F214" s="11">
        <f t="shared" si="10"/>
        <v>1018527.0199999991</v>
      </c>
      <c r="G214" s="18" t="s">
        <v>134</v>
      </c>
    </row>
    <row r="215" spans="1:9" ht="15" customHeight="1" x14ac:dyDescent="0.25">
      <c r="A215" s="6">
        <v>46104</v>
      </c>
      <c r="B215" s="7" t="s">
        <v>228</v>
      </c>
      <c r="C215" s="8" t="s">
        <v>16</v>
      </c>
      <c r="D215" s="9">
        <v>69868</v>
      </c>
      <c r="E215" s="10"/>
      <c r="F215" s="11">
        <f t="shared" si="10"/>
        <v>1088395.0199999991</v>
      </c>
      <c r="G215" s="12" t="s">
        <v>134</v>
      </c>
      <c r="I215" s="18"/>
    </row>
    <row r="216" spans="1:9" ht="15" customHeight="1" x14ac:dyDescent="0.25">
      <c r="A216" s="13">
        <v>46106</v>
      </c>
      <c r="B216" s="14" t="s">
        <v>229</v>
      </c>
      <c r="C216" s="15" t="s">
        <v>16</v>
      </c>
      <c r="D216" s="16">
        <v>11865</v>
      </c>
      <c r="E216" s="17"/>
      <c r="F216" s="11">
        <f t="shared" si="10"/>
        <v>1100260.0199999991</v>
      </c>
      <c r="G216" s="18" t="s">
        <v>134</v>
      </c>
    </row>
    <row r="217" spans="1:9" ht="15" customHeight="1" x14ac:dyDescent="0.25">
      <c r="A217" s="6">
        <v>46108</v>
      </c>
      <c r="B217" s="7" t="s">
        <v>230</v>
      </c>
      <c r="C217" s="8" t="s">
        <v>16</v>
      </c>
      <c r="D217" s="9">
        <v>11865</v>
      </c>
      <c r="E217" s="10"/>
      <c r="F217" s="11">
        <f t="shared" si="10"/>
        <v>1112125.0199999991</v>
      </c>
      <c r="G217" s="12" t="s">
        <v>134</v>
      </c>
    </row>
    <row r="218" spans="1:9" ht="15" customHeight="1" x14ac:dyDescent="0.25">
      <c r="A218" s="13">
        <v>46111</v>
      </c>
      <c r="B218" s="14" t="s">
        <v>231</v>
      </c>
      <c r="C218" s="15" t="s">
        <v>16</v>
      </c>
      <c r="D218" s="16">
        <v>11865</v>
      </c>
      <c r="E218" s="17"/>
      <c r="F218" s="11">
        <f t="shared" si="10"/>
        <v>1123990.0199999991</v>
      </c>
      <c r="G218" s="18" t="s">
        <v>134</v>
      </c>
    </row>
    <row r="219" spans="1:9" ht="15" customHeight="1" x14ac:dyDescent="0.25">
      <c r="A219" s="6">
        <v>46111</v>
      </c>
      <c r="B219" s="7" t="s">
        <v>232</v>
      </c>
      <c r="C219" s="19" t="s">
        <v>23</v>
      </c>
      <c r="D219" s="22"/>
      <c r="E219" s="10">
        <v>11865</v>
      </c>
      <c r="F219" s="11">
        <f t="shared" si="10"/>
        <v>1112125.0199999991</v>
      </c>
      <c r="G219" s="12" t="s">
        <v>24</v>
      </c>
    </row>
    <row r="220" spans="1:9" ht="15" customHeight="1" x14ac:dyDescent="0.25">
      <c r="A220" s="6">
        <v>46120</v>
      </c>
      <c r="B220" s="48" t="s">
        <v>257</v>
      </c>
      <c r="C220" s="49" t="s">
        <v>30</v>
      </c>
      <c r="D220" s="22"/>
      <c r="E220" s="10">
        <v>500000</v>
      </c>
      <c r="F220" s="11">
        <f t="shared" si="10"/>
        <v>612125.01999999909</v>
      </c>
      <c r="G220" s="18" t="s">
        <v>99</v>
      </c>
    </row>
    <row r="221" spans="1:9" ht="15" customHeight="1" x14ac:dyDescent="0.25">
      <c r="A221" s="13">
        <v>46122</v>
      </c>
      <c r="B221" s="14" t="s">
        <v>233</v>
      </c>
      <c r="C221" s="15" t="s">
        <v>16</v>
      </c>
      <c r="D221" s="16">
        <v>87734.04</v>
      </c>
      <c r="E221" s="17"/>
      <c r="F221" s="11">
        <f t="shared" si="10"/>
        <v>699859.05999999912</v>
      </c>
      <c r="G221" s="18" t="s">
        <v>134</v>
      </c>
    </row>
    <row r="222" spans="1:9" ht="15" customHeight="1" x14ac:dyDescent="0.25">
      <c r="A222" s="6">
        <v>46122</v>
      </c>
      <c r="B222" s="7" t="s">
        <v>234</v>
      </c>
      <c r="C222" s="8" t="s">
        <v>16</v>
      </c>
      <c r="D222" s="9">
        <v>400260</v>
      </c>
      <c r="E222" s="10"/>
      <c r="F222" s="11">
        <f t="shared" si="10"/>
        <v>1100119.0599999991</v>
      </c>
      <c r="G222" s="12" t="s">
        <v>134</v>
      </c>
    </row>
    <row r="223" spans="1:9" ht="15" customHeight="1" x14ac:dyDescent="0.25">
      <c r="A223" s="13">
        <v>46122</v>
      </c>
      <c r="B223" s="14" t="s">
        <v>235</v>
      </c>
      <c r="C223" s="15" t="s">
        <v>16</v>
      </c>
      <c r="D223" s="16">
        <v>112168.02</v>
      </c>
      <c r="E223" s="17"/>
      <c r="F223" s="11">
        <f t="shared" si="10"/>
        <v>1212287.0799999991</v>
      </c>
      <c r="G223" s="18" t="s">
        <v>134</v>
      </c>
    </row>
    <row r="224" spans="1:9" ht="15" customHeight="1" x14ac:dyDescent="0.25">
      <c r="A224" s="6">
        <v>46123</v>
      </c>
      <c r="B224" s="7" t="s">
        <v>236</v>
      </c>
      <c r="C224" s="8" t="s">
        <v>16</v>
      </c>
      <c r="D224" s="9">
        <v>113489.98</v>
      </c>
      <c r="E224" s="10"/>
      <c r="F224" s="11">
        <f t="shared" si="10"/>
        <v>1325777.0599999991</v>
      </c>
      <c r="G224" s="12" t="s">
        <v>134</v>
      </c>
    </row>
    <row r="225" spans="1:7" ht="15" customHeight="1" x14ac:dyDescent="0.25">
      <c r="A225" s="13">
        <v>46127</v>
      </c>
      <c r="B225" s="14" t="s">
        <v>237</v>
      </c>
      <c r="C225" s="15" t="s">
        <v>16</v>
      </c>
      <c r="D225" s="16">
        <v>405363</v>
      </c>
      <c r="E225" s="17"/>
      <c r="F225" s="11">
        <f t="shared" si="10"/>
        <v>1731140.0599999991</v>
      </c>
      <c r="G225" s="18" t="s">
        <v>134</v>
      </c>
    </row>
    <row r="226" spans="1:7" ht="15" customHeight="1" x14ac:dyDescent="0.25">
      <c r="A226" s="6">
        <v>46136</v>
      </c>
      <c r="B226" s="7" t="s">
        <v>238</v>
      </c>
      <c r="C226" s="8" t="s">
        <v>16</v>
      </c>
      <c r="D226" s="9">
        <v>70245</v>
      </c>
      <c r="E226" s="10"/>
      <c r="F226" s="11">
        <f t="shared" si="10"/>
        <v>1801385.0599999991</v>
      </c>
      <c r="G226" s="12" t="s">
        <v>134</v>
      </c>
    </row>
    <row r="227" spans="1:7" ht="15" customHeight="1" x14ac:dyDescent="0.25">
      <c r="A227" s="13">
        <v>46137</v>
      </c>
      <c r="B227" s="14" t="s">
        <v>239</v>
      </c>
      <c r="C227" s="15" t="s">
        <v>16</v>
      </c>
      <c r="D227" s="16">
        <v>34220.03</v>
      </c>
      <c r="E227" s="17"/>
      <c r="F227" s="11">
        <f t="shared" si="10"/>
        <v>1835605.0899999992</v>
      </c>
      <c r="G227" s="18" t="s">
        <v>134</v>
      </c>
    </row>
    <row r="228" spans="1:7" ht="15" customHeight="1" x14ac:dyDescent="0.25">
      <c r="A228" s="6">
        <v>46139</v>
      </c>
      <c r="B228" s="7" t="s">
        <v>240</v>
      </c>
      <c r="C228" s="19" t="s">
        <v>23</v>
      </c>
      <c r="D228" s="22"/>
      <c r="E228" s="10">
        <v>400260</v>
      </c>
      <c r="F228" s="11">
        <f t="shared" si="10"/>
        <v>1435345.0899999992</v>
      </c>
      <c r="G228" s="12" t="s">
        <v>24</v>
      </c>
    </row>
    <row r="229" spans="1:7" ht="15" customHeight="1" x14ac:dyDescent="0.25">
      <c r="A229" s="13">
        <v>46141</v>
      </c>
      <c r="B229" s="14" t="s">
        <v>241</v>
      </c>
      <c r="C229" s="15" t="s">
        <v>16</v>
      </c>
      <c r="D229" s="16">
        <v>32389.98</v>
      </c>
      <c r="E229" s="17"/>
      <c r="F229" s="11">
        <f t="shared" si="10"/>
        <v>1467735.0699999991</v>
      </c>
      <c r="G229" s="18" t="s">
        <v>134</v>
      </c>
    </row>
    <row r="230" spans="1:7" ht="15" customHeight="1" x14ac:dyDescent="0.25">
      <c r="A230" s="44">
        <v>46142</v>
      </c>
      <c r="B230" s="48" t="s">
        <v>258</v>
      </c>
      <c r="C230" s="43" t="s">
        <v>30</v>
      </c>
      <c r="D230" s="16"/>
      <c r="E230" s="17">
        <v>500000</v>
      </c>
      <c r="F230" s="11">
        <f t="shared" si="10"/>
        <v>967735.06999999913</v>
      </c>
      <c r="G230" s="18" t="s">
        <v>99</v>
      </c>
    </row>
    <row r="231" spans="1:7" ht="15" customHeight="1" x14ac:dyDescent="0.25">
      <c r="A231" s="6">
        <v>46146</v>
      </c>
      <c r="B231" s="7" t="s">
        <v>242</v>
      </c>
      <c r="C231" s="8" t="s">
        <v>16</v>
      </c>
      <c r="D231" s="9">
        <v>142866.04999999999</v>
      </c>
      <c r="E231" s="10"/>
      <c r="F231" s="11">
        <f t="shared" si="10"/>
        <v>1110601.1199999992</v>
      </c>
      <c r="G231" s="12" t="s">
        <v>134</v>
      </c>
    </row>
    <row r="232" spans="1:7" ht="15" customHeight="1" x14ac:dyDescent="0.25">
      <c r="A232" s="13">
        <v>46146</v>
      </c>
      <c r="B232" s="14" t="s">
        <v>243</v>
      </c>
      <c r="C232" s="15" t="s">
        <v>16</v>
      </c>
      <c r="D232" s="16">
        <v>955614.35</v>
      </c>
      <c r="E232" s="17"/>
      <c r="F232" s="11">
        <f t="shared" si="10"/>
        <v>2066215.4699999993</v>
      </c>
      <c r="G232" s="18" t="s">
        <v>134</v>
      </c>
    </row>
    <row r="233" spans="1:7" ht="15" customHeight="1" x14ac:dyDescent="0.25">
      <c r="A233" s="6">
        <v>46147</v>
      </c>
      <c r="B233" s="7" t="s">
        <v>244</v>
      </c>
      <c r="C233" s="8" t="s">
        <v>16</v>
      </c>
      <c r="D233" s="9">
        <v>178480.06</v>
      </c>
      <c r="E233" s="10"/>
      <c r="F233" s="11">
        <f t="shared" si="10"/>
        <v>2244695.5299999993</v>
      </c>
      <c r="G233" s="12" t="s">
        <v>134</v>
      </c>
    </row>
    <row r="234" spans="1:7" ht="15" customHeight="1" x14ac:dyDescent="0.25">
      <c r="A234" s="13">
        <v>46151</v>
      </c>
      <c r="B234" s="14" t="s">
        <v>245</v>
      </c>
      <c r="C234" s="15" t="s">
        <v>16</v>
      </c>
      <c r="D234" s="16">
        <v>222640.11</v>
      </c>
      <c r="E234" s="17"/>
      <c r="F234" s="11">
        <f t="shared" si="10"/>
        <v>2467335.6399999992</v>
      </c>
      <c r="G234" s="18" t="s">
        <v>134</v>
      </c>
    </row>
    <row r="235" spans="1:7" ht="15" customHeight="1" x14ac:dyDescent="0.25">
      <c r="A235" s="6">
        <v>46151</v>
      </c>
      <c r="B235" s="7" t="s">
        <v>246</v>
      </c>
      <c r="C235" s="8" t="s">
        <v>16</v>
      </c>
      <c r="D235" s="9">
        <v>111849.99</v>
      </c>
      <c r="E235" s="10"/>
      <c r="F235" s="11">
        <f t="shared" si="10"/>
        <v>2579185.6299999994</v>
      </c>
      <c r="G235" s="12" t="s">
        <v>134</v>
      </c>
    </row>
    <row r="236" spans="1:7" ht="15" customHeight="1" x14ac:dyDescent="0.25">
      <c r="A236" s="13">
        <v>46158</v>
      </c>
      <c r="B236" s="14" t="s">
        <v>247</v>
      </c>
      <c r="C236" s="15" t="s">
        <v>16</v>
      </c>
      <c r="D236" s="16">
        <v>9764</v>
      </c>
      <c r="E236" s="17"/>
      <c r="F236" s="11">
        <f t="shared" si="10"/>
        <v>2588949.6299999994</v>
      </c>
      <c r="G236" s="18" t="s">
        <v>134</v>
      </c>
    </row>
    <row r="237" spans="1:7" ht="15" customHeight="1" x14ac:dyDescent="0.25">
      <c r="A237" s="13">
        <v>46168</v>
      </c>
      <c r="B237" s="48" t="s">
        <v>259</v>
      </c>
      <c r="C237" s="43" t="s">
        <v>30</v>
      </c>
      <c r="D237" s="16"/>
      <c r="E237" s="17">
        <v>500000</v>
      </c>
      <c r="F237" s="11">
        <f t="shared" si="10"/>
        <v>2088949.6299999994</v>
      </c>
      <c r="G237" s="18" t="s">
        <v>99</v>
      </c>
    </row>
    <row r="238" spans="1:7" ht="15" customHeight="1" x14ac:dyDescent="0.25">
      <c r="A238" s="6">
        <v>46175</v>
      </c>
      <c r="B238" s="7" t="s">
        <v>248</v>
      </c>
      <c r="C238" s="8" t="s">
        <v>16</v>
      </c>
      <c r="D238" s="9">
        <v>265990.03999999998</v>
      </c>
      <c r="E238" s="10"/>
      <c r="F238" s="11">
        <f t="shared" si="10"/>
        <v>2354939.6699999995</v>
      </c>
      <c r="G238" s="12" t="s">
        <v>249</v>
      </c>
    </row>
    <row r="239" spans="1:7" ht="15" customHeight="1" x14ac:dyDescent="0.25">
      <c r="A239" s="13">
        <v>46176</v>
      </c>
      <c r="B239" s="14" t="s">
        <v>250</v>
      </c>
      <c r="C239" s="15" t="s">
        <v>16</v>
      </c>
      <c r="D239" s="16">
        <v>572270.1</v>
      </c>
      <c r="E239" s="17"/>
      <c r="F239" s="11">
        <f t="shared" si="10"/>
        <v>2927209.7699999996</v>
      </c>
      <c r="G239" s="18" t="s">
        <v>249</v>
      </c>
    </row>
    <row r="240" spans="1:7" ht="15" customHeight="1" x14ac:dyDescent="0.25">
      <c r="A240" s="13">
        <v>46179</v>
      </c>
      <c r="B240" s="48" t="s">
        <v>260</v>
      </c>
      <c r="C240" s="43" t="s">
        <v>30</v>
      </c>
      <c r="D240" s="16"/>
      <c r="E240" s="17">
        <v>1000000</v>
      </c>
      <c r="F240" s="11">
        <f t="shared" si="10"/>
        <v>1927209.7699999996</v>
      </c>
      <c r="G240" s="18" t="s">
        <v>99</v>
      </c>
    </row>
    <row r="241" spans="1:7" ht="15" customHeight="1" x14ac:dyDescent="0.25">
      <c r="A241" s="6">
        <v>46186</v>
      </c>
      <c r="B241" s="7" t="s">
        <v>251</v>
      </c>
      <c r="C241" s="8" t="s">
        <v>16</v>
      </c>
      <c r="D241" s="9">
        <v>123020</v>
      </c>
      <c r="E241" s="10"/>
      <c r="F241" s="11">
        <f t="shared" si="10"/>
        <v>2050229.7699999996</v>
      </c>
      <c r="G241" s="12" t="s">
        <v>249</v>
      </c>
    </row>
    <row r="242" spans="1:7" ht="15" customHeight="1" x14ac:dyDescent="0.25">
      <c r="A242" s="13">
        <v>46190</v>
      </c>
      <c r="B242" s="14" t="s">
        <v>252</v>
      </c>
      <c r="C242" s="15" t="s">
        <v>16</v>
      </c>
      <c r="D242" s="16">
        <v>54150</v>
      </c>
      <c r="E242" s="17"/>
      <c r="F242" s="11">
        <f t="shared" si="10"/>
        <v>2104379.7699999996</v>
      </c>
      <c r="G242" s="18" t="s">
        <v>249</v>
      </c>
    </row>
    <row r="243" spans="1:7" ht="15" customHeight="1" x14ac:dyDescent="0.25">
      <c r="A243" s="6">
        <v>46201</v>
      </c>
      <c r="B243" s="7" t="s">
        <v>253</v>
      </c>
      <c r="C243" s="8" t="s">
        <v>16</v>
      </c>
      <c r="D243" s="9">
        <v>260190</v>
      </c>
      <c r="E243" s="10"/>
      <c r="F243" s="11">
        <f t="shared" si="10"/>
        <v>2364569.7699999996</v>
      </c>
      <c r="G243" s="12" t="s">
        <v>249</v>
      </c>
    </row>
    <row r="244" spans="1:7" ht="15" customHeight="1" x14ac:dyDescent="0.25">
      <c r="A244" s="13">
        <v>46201</v>
      </c>
      <c r="B244" s="14" t="s">
        <v>254</v>
      </c>
      <c r="C244" s="15" t="s">
        <v>16</v>
      </c>
      <c r="D244" s="16">
        <v>207418</v>
      </c>
      <c r="E244" s="17"/>
      <c r="F244" s="11">
        <f t="shared" si="10"/>
        <v>2571987.7699999996</v>
      </c>
      <c r="G244" s="18" t="s">
        <v>249</v>
      </c>
    </row>
    <row r="245" spans="1:7" ht="24" customHeight="1" x14ac:dyDescent="0.25">
      <c r="A245" s="37" t="s">
        <v>255</v>
      </c>
      <c r="B245" s="37"/>
      <c r="C245" s="37"/>
      <c r="D245" s="24"/>
      <c r="E245" s="24"/>
      <c r="F245" s="25"/>
      <c r="G245" s="26"/>
    </row>
    <row r="246" spans="1:7" x14ac:dyDescent="0.25">
      <c r="F246" s="11">
        <f t="shared" ref="F246" si="11">F245+D246-E246</f>
        <v>0</v>
      </c>
    </row>
  </sheetData>
  <autoFilter ref="A8:G245"/>
  <mergeCells count="8">
    <mergeCell ref="A245:C245"/>
    <mergeCell ref="A1:G1"/>
    <mergeCell ref="A2:G2"/>
    <mergeCell ref="A3:G3"/>
    <mergeCell ref="A5:B5"/>
    <mergeCell ref="F5:G5"/>
    <mergeCell ref="A6:B6"/>
    <mergeCell ref="F6:G6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0</cp:revision>
  <dcterms:created xsi:type="dcterms:W3CDTF">2026-06-30T09:41:50Z</dcterms:created>
  <dcterms:modified xsi:type="dcterms:W3CDTF">2026-06-30T19:10:39Z</dcterms:modified>
  <dc:language>en-US</dc:language>
</cp:coreProperties>
</file>